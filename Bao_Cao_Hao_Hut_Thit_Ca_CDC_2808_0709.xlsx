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Đối soát SCM\"/>
    </mc:Choice>
  </mc:AlternateContent>
  <xr:revisionPtr revIDLastSave="0" documentId="13_ncr:1_{E6B309A7-4261-4C80-B70D-331FD01F62B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P 15 SKU " sheetId="1" r:id="rId1"/>
    <sheet name="CLV3" sheetId="2" r:id="rId2"/>
    <sheet name="3.Chi_Tiet_ALL_SKU_KG" sheetId="3" r:id="rId3"/>
  </sheets>
  <definedNames>
    <definedName name="_xlnm._FilterDatabase" localSheetId="2" hidden="1">'3.Chi_Tiet_ALL_SKU_KG'!$A$3:$L$65</definedName>
    <definedName name="_xlnm._FilterDatabase" localSheetId="0" hidden="1">'TOP 15 SKU '!$A$3:$L$19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8" i="1" l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19" i="1" s="1"/>
  <c r="J4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 s="1"/>
  <c r="G4" i="1"/>
  <c r="I7" i="2"/>
  <c r="I6" i="2"/>
  <c r="I5" i="2"/>
  <c r="I4" i="2"/>
  <c r="H7" i="2"/>
  <c r="H6" i="2"/>
  <c r="H5" i="2"/>
  <c r="H8" i="2" s="1"/>
  <c r="H4" i="2"/>
  <c r="E7" i="2"/>
  <c r="E6" i="2"/>
  <c r="E5" i="2"/>
  <c r="E4" i="2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J66" i="3"/>
  <c r="L19" i="1"/>
  <c r="G8" i="2"/>
  <c r="F8" i="2"/>
  <c r="D8" i="2"/>
  <c r="C8" i="2"/>
  <c r="H19" i="1"/>
  <c r="F19" i="1"/>
  <c r="E19" i="1"/>
  <c r="K19" i="1" l="1"/>
  <c r="E8" i="2"/>
  <c r="I8" i="2"/>
</calcChain>
</file>

<file path=xl/sharedStrings.xml><?xml version="1.0" encoding="utf-8"?>
<sst xmlns="http://schemas.openxmlformats.org/spreadsheetml/2006/main" count="283" uniqueCount="161">
  <si>
    <t>BÁO CÁO ĐỐI SOÁT HAO HỤT THỊT CÁ: TOP 15 SKU HAO HỤT CAO NHẤT (28/08 - 07/09/2026)</t>
  </si>
  <si>
    <t>STT</t>
  </si>
  <si>
    <t>Mã SKU</t>
  </si>
  <si>
    <t>Tên Sản Phẩm</t>
  </si>
  <si>
    <t>Phân Loại (CLV3)</t>
  </si>
  <si>
    <t>SL Chênh Lệch (kg)</t>
  </si>
  <si>
    <t>Đơn Giá (VNĐ/kg)</t>
  </si>
  <si>
    <t>Tiền Hao Hụt (VNĐ)</t>
  </si>
  <si>
    <t>% Chiếm HH Thịt Cá</t>
  </si>
  <si>
    <t>Tỷ Lệ HH (%)</t>
  </si>
  <si>
    <t>1101171</t>
  </si>
  <si>
    <t>THỊT HEO XAY</t>
  </si>
  <si>
    <t>3.PORK</t>
  </si>
  <si>
    <t>1101167</t>
  </si>
  <si>
    <t>BA RỌI HEO</t>
  </si>
  <si>
    <t>1101133</t>
  </si>
  <si>
    <t>THỊT BÒ XAY</t>
  </si>
  <si>
    <t>3.BEEF</t>
  </si>
  <si>
    <t>1101169</t>
  </si>
  <si>
    <t>CỐT LẾT HEO</t>
  </si>
  <si>
    <t>1101170</t>
  </si>
  <si>
    <t>SƯỜN NON</t>
  </si>
  <si>
    <t>1101131</t>
  </si>
  <si>
    <t>THĂN BÒ</t>
  </si>
  <si>
    <t>1101166</t>
  </si>
  <si>
    <t>NẠC DĂM</t>
  </si>
  <si>
    <t>1102729</t>
  </si>
  <si>
    <t>XƯƠNG GIÁ HEO</t>
  </si>
  <si>
    <t>1101525</t>
  </si>
  <si>
    <t>CÁNH GIỮA</t>
  </si>
  <si>
    <t>3.POULTRY</t>
  </si>
  <si>
    <t>1101526</t>
  </si>
  <si>
    <t>CÁNH TỎI</t>
  </si>
  <si>
    <t>1102749</t>
  </si>
  <si>
    <t>NẠC BÒ (ĐÙI/VAI)</t>
  </si>
  <si>
    <t>1102868</t>
  </si>
  <si>
    <t>CỐT LẾT HEO CÓ MỠ</t>
  </si>
  <si>
    <t>1102854</t>
  </si>
  <si>
    <t>NẠC ĐỆM HEO</t>
  </si>
  <si>
    <t>1101529</t>
  </si>
  <si>
    <t>ĐÙI GÀ RÚT XƯƠNG</t>
  </si>
  <si>
    <t>1101175</t>
  </si>
  <si>
    <t>PHI LÊ ỨC GÀ KHÔNG DA</t>
  </si>
  <si>
    <t>Mã CLV3</t>
  </si>
  <si>
    <t>Tên Nhóm Ngành Hàng</t>
  </si>
  <si>
    <t>Thịt Heo Tươi</t>
  </si>
  <si>
    <t>Thịt Bò Tươi</t>
  </si>
  <si>
    <t>Gia Cầm (Thịt Gà)</t>
  </si>
  <si>
    <t>3.FRESH FISH</t>
  </si>
  <si>
    <t>Thủy Hải Sản Tươi</t>
  </si>
  <si>
    <t>TỔNG CỘNG</t>
  </si>
  <si>
    <t>1101143</t>
  </si>
  <si>
    <t>SƯỜN GIÀ</t>
  </si>
  <si>
    <t>1101173</t>
  </si>
  <si>
    <t>ĐÙI TỎI</t>
  </si>
  <si>
    <t>1101168</t>
  </si>
  <si>
    <t>BA RỌI HEO RÚT SƯỜN</t>
  </si>
  <si>
    <t>1102886</t>
  </si>
  <si>
    <t>DỰNG HEO</t>
  </si>
  <si>
    <t>1102173</t>
  </si>
  <si>
    <t>MỠ HEO TẢNG</t>
  </si>
  <si>
    <t>1101430</t>
  </si>
  <si>
    <t>BẮP BÒ</t>
  </si>
  <si>
    <t>1101593</t>
  </si>
  <si>
    <t>XƯƠNG CỔ</t>
  </si>
  <si>
    <t>1102741</t>
  </si>
  <si>
    <t>NẠM CỔ BÒ</t>
  </si>
  <si>
    <t>1101165</t>
  </si>
  <si>
    <t>THỊT ĐÙI HEO</t>
  </si>
  <si>
    <t>1101530</t>
  </si>
  <si>
    <t>XƯƠNG ỨC GÀ</t>
  </si>
  <si>
    <t>1100298</t>
  </si>
  <si>
    <t>TÔM THẺ LỚN 30-40 CON/KG</t>
  </si>
  <si>
    <t>3.FRESH FISH AND SEAFOOD</t>
  </si>
  <si>
    <t>1101285</t>
  </si>
  <si>
    <t>XƯƠNG ỐNG HEO</t>
  </si>
  <si>
    <t>1102887</t>
  </si>
  <si>
    <t>BẮP GIÒ CẮT KHOANH</t>
  </si>
  <si>
    <t>1102860</t>
  </si>
  <si>
    <t>MỠ HEO CẮT SẴN</t>
  </si>
  <si>
    <t>1102023</t>
  </si>
  <si>
    <t>PHI LÊ MÁ ĐÙI KHÔNG DA</t>
  </si>
  <si>
    <t>1101172</t>
  </si>
  <si>
    <t>CÁNH GÀ</t>
  </si>
  <si>
    <t>1102043</t>
  </si>
  <si>
    <t>BẮP GIÒ RÚT XƯƠNG (CUỘN CHỈ)</t>
  </si>
  <si>
    <t>1102871</t>
  </si>
  <si>
    <t>THĂN CHUỘT HEO</t>
  </si>
  <si>
    <t>1101174</t>
  </si>
  <si>
    <t>MÁ ĐÙI GÀ TƯƠI</t>
  </si>
  <si>
    <t>1101611</t>
  </si>
  <si>
    <t>NẠC NỌNG HEO (NẠC GIÒN)</t>
  </si>
  <si>
    <t>1102730</t>
  </si>
  <si>
    <t>DA HEO</t>
  </si>
  <si>
    <t>1100726</t>
  </si>
  <si>
    <t>CÁ HỒI NAUY PHI LÊ</t>
  </si>
  <si>
    <t>1102921</t>
  </si>
  <si>
    <t>MEATCOOL PREMIUM - BA RỌI HEO THƯỢNG HẠNG</t>
  </si>
  <si>
    <t>1102926</t>
  </si>
  <si>
    <t>MEATCOOL PREMIUM - SƯỜN NON HEO</t>
  </si>
  <si>
    <t>1101960</t>
  </si>
  <si>
    <t>VỊT TƯƠI 1/2 CON (KHÔNG ĐẦU, CỔ)</t>
  </si>
  <si>
    <t>1102934</t>
  </si>
  <si>
    <t>MEATCOOL - BA RỌI HEO</t>
  </si>
  <si>
    <t>1102920</t>
  </si>
  <si>
    <t>MEATCOOL PREMIUM - NẠC DĂM HEO ĐẦU GIÒN</t>
  </si>
  <si>
    <t>1102935</t>
  </si>
  <si>
    <t>MEATCOOL - CỐT LẾT HEO</t>
  </si>
  <si>
    <t>1102937</t>
  </si>
  <si>
    <t>MEATCOOL - XƯƠNG ỐNG HEO</t>
  </si>
  <si>
    <t>1102931</t>
  </si>
  <si>
    <t>MEATCOOL - NẠC DĂM HEO</t>
  </si>
  <si>
    <t>1101845</t>
  </si>
  <si>
    <t>3F - CHÂN GÀ RÚT XƯƠNG</t>
  </si>
  <si>
    <t>1101822</t>
  </si>
  <si>
    <t>3F - CÁNH GIỮA</t>
  </si>
  <si>
    <t>1102936</t>
  </si>
  <si>
    <t>MEATCOOL - THỊT ĐÙI HEO</t>
  </si>
  <si>
    <t>1102919</t>
  </si>
  <si>
    <t>MEATCOOL PREMIUM - NẠC NỌNG HEO THƯỢNG HẠNG</t>
  </si>
  <si>
    <t>1102922</t>
  </si>
  <si>
    <t>MEATCOOL PREMIUM - SƯỜN NON CẮT NƯỚNG BBQ</t>
  </si>
  <si>
    <t>1101257</t>
  </si>
  <si>
    <t>CÁ THU ĐAO NC RĐ 8-10CON/KG</t>
  </si>
  <si>
    <t>1101004</t>
  </si>
  <si>
    <t>3F - GÀ THẢO DƯỢC</t>
  </si>
  <si>
    <t>1100890</t>
  </si>
  <si>
    <t>CÁ CHIM TRẮNG LÀM SẠCH</t>
  </si>
  <si>
    <t>1102745</t>
  </si>
  <si>
    <t>CÁ HỒI CHILE CẮT KHOANH RĐ</t>
  </si>
  <si>
    <t>1102911</t>
  </si>
  <si>
    <t>3F - GÀ TA CHẶT SẴN</t>
  </si>
  <si>
    <t>1102928</t>
  </si>
  <si>
    <t>MEATCOOL PREMIUM - MÓNG GIÒ HEO CẮT KHOANH</t>
  </si>
  <si>
    <t>1102927</t>
  </si>
  <si>
    <t>MEATCOOL PREMIUM - GIÒ HEO TRƯỚC CẮT KHOANH</t>
  </si>
  <si>
    <t>1102923</t>
  </si>
  <si>
    <t>MEATCOOL PREMIUM - ĐUÔI HEO</t>
  </si>
  <si>
    <t>1102929</t>
  </si>
  <si>
    <t>MEATCOOL PREMIUM - BẮP GIÒ HEO CUỘN</t>
  </si>
  <si>
    <t>1102930</t>
  </si>
  <si>
    <t>MEATCOOL - SƯỜN VAI HEO</t>
  </si>
  <si>
    <t>1102933</t>
  </si>
  <si>
    <t>MEATCOOL - THĂN CHUỘT HEO</t>
  </si>
  <si>
    <t>1102938</t>
  </si>
  <si>
    <t>MEATCOOL - XƯƠNG HEO</t>
  </si>
  <si>
    <t>SL Chuyển  (kg)</t>
  </si>
  <si>
    <t>SL Nhận  (kg)</t>
  </si>
  <si>
    <t>SL Hao Hụt  (kg)</t>
  </si>
  <si>
    <t>Gía trị
Hao Hụt (VNĐ)</t>
  </si>
  <si>
    <t>% Chiếm 
HH Thịt Cá</t>
  </si>
  <si>
    <t xml:space="preserve">Tỷ lệ hao hụt toàn ngành 1.28% </t>
  </si>
  <si>
    <t>ALL</t>
  </si>
  <si>
    <t>Tổng SL Chuyển  (kg)</t>
  </si>
  <si>
    <t>Tổng SL Nhận  (kg)</t>
  </si>
  <si>
    <t>NOTE</t>
  </si>
  <si>
    <t>Đơn giá cao (~200k - 300k/kg), tập trung ở Thịt bò xay &amp; Thăn bò chiếm 20.46%</t>
  </si>
  <si>
    <t>Tổng giá trị hao hụt thấp</t>
  </si>
  <si>
    <t>Tập trung ở Thịt heo xay &amp; Ba rọi chiếm 22.26%</t>
  </si>
  <si>
    <t>DANH SÁCH ALL MÃ HÀNG 'KG' THỊT CÁ PHÁT SINH (28/08 - 07/09/2026)</t>
  </si>
  <si>
    <t xml:space="preserve"> TỔNG HỢP HAO HỤT THỊT CÁ THEO PHÂN LOẠI NGÀNH HÀNG (CLV3)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</si>
</sst>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0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0F766E"/>
        <bgColor rgb="FF0F766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0F172A"/>
      </top>
      <bottom style="double">
        <color rgb="FF0F172A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4" fontId="0" fillId="0" borderId="1" xfId="0" applyNumberFormat="1" applyFont="1" applyBorder="1"/>
    <xf numFmtId="164" fontId="0" fillId="0" borderId="1" xfId="0" applyNumberFormat="1" applyFont="1" applyBorder="1"/>
    <xf numFmtId="3" fontId="0" fillId="0" borderId="1" xfId="0" applyNumberFormat="1" applyFont="1" applyBorder="1"/>
    <xf numFmtId="10" fontId="0" fillId="0" borderId="1" xfId="0" applyNumberFormat="1" applyFont="1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5" fontId="0" fillId="0" borderId="0" xfId="1" applyNumberFormat="1" applyFont="1"/>
    <xf numFmtId="9" fontId="0" fillId="0" borderId="0" xfId="2" applyFont="1"/>
    <xf numFmtId="0" fontId="2" fillId="2" borderId="0" xfId="0" applyFont="1" applyFill="1" applyAlignment="1">
      <alignment horizontal="center" vertical="center"/>
    </xf>
    <xf numFmtId="0" fontId="0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4" fontId="6" fillId="0" borderId="1" xfId="0" applyNumberFormat="1" applyFont="1" applyBorder="1"/>
    <xf numFmtId="164" fontId="6" fillId="0" borderId="1" xfId="0" applyNumberFormat="1" applyFont="1" applyBorder="1"/>
    <xf numFmtId="3" fontId="6" fillId="0" borderId="1" xfId="0" applyNumberFormat="1" applyFont="1" applyBorder="1"/>
    <xf numFmtId="10" fontId="6" fillId="0" borderId="1" xfId="0" applyNumberFormat="1" applyFont="1" applyBorder="1"/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/>
    <xf numFmtId="4" fontId="7" fillId="4" borderId="2" xfId="0" applyNumberFormat="1" applyFont="1" applyFill="1" applyBorder="1"/>
    <xf numFmtId="164" fontId="7" fillId="4" borderId="2" xfId="0" applyNumberFormat="1" applyFont="1" applyFill="1" applyBorder="1"/>
    <xf numFmtId="3" fontId="7" fillId="4" borderId="2" xfId="0" applyNumberFormat="1" applyFont="1" applyFill="1" applyBorder="1"/>
    <xf numFmtId="10" fontId="7" fillId="4" borderId="2" xfId="0" applyNumberFormat="1" applyFont="1" applyFill="1" applyBorder="1"/>
    <xf numFmtId="0" fontId="5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workbookViewId="0">
      <selection activeCell="F23" sqref="F23"/>
    </sheetView>
  </sheetViews>
  <sheetFormatPr defaultRowHeight="12.75" x14ac:dyDescent="0.2"/>
  <cols>
    <col min="1" max="1" width="8.140625" style="15" bestFit="1" customWidth="1"/>
    <col min="2" max="2" width="11.42578125" style="15" bestFit="1" customWidth="1"/>
    <col min="3" max="3" width="20" style="15" bestFit="1" customWidth="1"/>
    <col min="4" max="4" width="18.7109375" style="15" bestFit="1" customWidth="1"/>
    <col min="5" max="5" width="17.28515625" style="15" bestFit="1" customWidth="1"/>
    <col min="6" max="6" width="15.5703125" style="15" bestFit="1" customWidth="1"/>
    <col min="7" max="7" width="20.140625" style="15" bestFit="1" customWidth="1"/>
    <col min="8" max="8" width="17.85546875" style="15" bestFit="1" customWidth="1"/>
    <col min="9" max="9" width="19.5703125" style="15" bestFit="1" customWidth="1"/>
    <col min="10" max="10" width="17" style="15" bestFit="1" customWidth="1"/>
    <col min="11" max="11" width="13.5703125" style="15" bestFit="1" customWidth="1"/>
    <col min="12" max="12" width="15.140625" style="15" bestFit="1" customWidth="1"/>
    <col min="13" max="16384" width="9.140625" style="15"/>
  </cols>
  <sheetData>
    <row r="1" spans="1:12" ht="22.5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ht="27.95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146</v>
      </c>
      <c r="F3" s="7" t="s">
        <v>147</v>
      </c>
      <c r="G3" s="7" t="s">
        <v>5</v>
      </c>
      <c r="H3" s="7" t="s">
        <v>148</v>
      </c>
      <c r="I3" s="7" t="s">
        <v>6</v>
      </c>
      <c r="J3" s="7" t="s">
        <v>149</v>
      </c>
      <c r="K3" s="7" t="s">
        <v>150</v>
      </c>
      <c r="L3" s="7" t="s">
        <v>9</v>
      </c>
    </row>
    <row r="4" spans="1:12" ht="21.95" customHeight="1" x14ac:dyDescent="0.2">
      <c r="A4" s="16">
        <v>1</v>
      </c>
      <c r="B4" s="16" t="s">
        <v>10</v>
      </c>
      <c r="C4" s="17" t="s">
        <v>11</v>
      </c>
      <c r="D4" s="16" t="s">
        <v>12</v>
      </c>
      <c r="E4" s="18">
        <v>7361.2979999999998</v>
      </c>
      <c r="F4" s="18">
        <v>7278.8490000000002</v>
      </c>
      <c r="G4" s="18">
        <f>E4-F4</f>
        <v>82.448999999999614</v>
      </c>
      <c r="H4" s="19">
        <v>66.141999999999996</v>
      </c>
      <c r="I4" s="20">
        <v>88908</v>
      </c>
      <c r="J4" s="20">
        <f>I4*H4</f>
        <v>5880552.9359999998</v>
      </c>
      <c r="K4" s="21">
        <v>0.1234931523612616</v>
      </c>
      <c r="L4" s="21">
        <v>8.9851001820602829E-3</v>
      </c>
    </row>
    <row r="5" spans="1:12" ht="21.95" customHeight="1" x14ac:dyDescent="0.2">
      <c r="A5" s="16">
        <v>2</v>
      </c>
      <c r="B5" s="16" t="s">
        <v>13</v>
      </c>
      <c r="C5" s="17" t="s">
        <v>14</v>
      </c>
      <c r="D5" s="16" t="s">
        <v>12</v>
      </c>
      <c r="E5" s="18">
        <v>4789.8379999999997</v>
      </c>
      <c r="F5" s="18">
        <v>4742.0739999999996</v>
      </c>
      <c r="G5" s="18">
        <f t="shared" ref="G5:G18" si="0">E5-F5</f>
        <v>47.764000000000124</v>
      </c>
      <c r="H5" s="19">
        <v>35.137999999999998</v>
      </c>
      <c r="I5" s="20">
        <v>134313</v>
      </c>
      <c r="J5" s="20">
        <f t="shared" ref="J5:J18" si="1">I5*H5</f>
        <v>4719490.1940000001</v>
      </c>
      <c r="K5" s="21">
        <v>9.9110530580745732E-2</v>
      </c>
      <c r="L5" s="21">
        <v>7.3359474788082602E-3</v>
      </c>
    </row>
    <row r="6" spans="1:12" ht="21.95" customHeight="1" x14ac:dyDescent="0.2">
      <c r="A6" s="16">
        <v>3</v>
      </c>
      <c r="B6" s="16" t="s">
        <v>15</v>
      </c>
      <c r="C6" s="17" t="s">
        <v>16</v>
      </c>
      <c r="D6" s="16" t="s">
        <v>17</v>
      </c>
      <c r="E6" s="18">
        <v>429.61</v>
      </c>
      <c r="F6" s="18">
        <v>402.41</v>
      </c>
      <c r="G6" s="18">
        <f t="shared" si="0"/>
        <v>27.199999999999989</v>
      </c>
      <c r="H6" s="19">
        <v>25.463999999999999</v>
      </c>
      <c r="I6" s="20">
        <v>183452</v>
      </c>
      <c r="J6" s="20">
        <f t="shared" si="1"/>
        <v>4671421.7280000001</v>
      </c>
      <c r="K6" s="21">
        <v>9.8101080200804436E-2</v>
      </c>
      <c r="L6" s="21">
        <v>5.9272363306254502E-2</v>
      </c>
    </row>
    <row r="7" spans="1:12" ht="21.95" customHeight="1" x14ac:dyDescent="0.2">
      <c r="A7" s="16">
        <v>4</v>
      </c>
      <c r="B7" s="16" t="s">
        <v>18</v>
      </c>
      <c r="C7" s="17" t="s">
        <v>19</v>
      </c>
      <c r="D7" s="16" t="s">
        <v>12</v>
      </c>
      <c r="E7" s="18">
        <v>576.91999999999996</v>
      </c>
      <c r="F7" s="18">
        <v>556.52</v>
      </c>
      <c r="G7" s="18">
        <f t="shared" si="0"/>
        <v>20.399999999999977</v>
      </c>
      <c r="H7" s="19">
        <v>19.457000000000001</v>
      </c>
      <c r="I7" s="20">
        <v>87318</v>
      </c>
      <c r="J7" s="20">
        <f t="shared" si="1"/>
        <v>1698946.3260000001</v>
      </c>
      <c r="K7" s="21">
        <v>3.567831797005077E-2</v>
      </c>
      <c r="L7" s="21">
        <v>3.3725646536781527E-2</v>
      </c>
    </row>
    <row r="8" spans="1:12" ht="21.95" customHeight="1" x14ac:dyDescent="0.2">
      <c r="A8" s="16">
        <v>5</v>
      </c>
      <c r="B8" s="16" t="s">
        <v>20</v>
      </c>
      <c r="C8" s="17" t="s">
        <v>21</v>
      </c>
      <c r="D8" s="16" t="s">
        <v>12</v>
      </c>
      <c r="E8" s="18">
        <v>2447.2869999999998</v>
      </c>
      <c r="F8" s="18">
        <v>2415.7930000000001</v>
      </c>
      <c r="G8" s="18">
        <f t="shared" si="0"/>
        <v>31.493999999999687</v>
      </c>
      <c r="H8" s="19">
        <v>18.655000000000001</v>
      </c>
      <c r="I8" s="20">
        <v>194834</v>
      </c>
      <c r="J8" s="20">
        <f t="shared" si="1"/>
        <v>3634628.27</v>
      </c>
      <c r="K8" s="21">
        <v>7.6328145942849257E-2</v>
      </c>
      <c r="L8" s="21">
        <v>7.6227267173813286E-3</v>
      </c>
    </row>
    <row r="9" spans="1:12" ht="21.95" customHeight="1" x14ac:dyDescent="0.2">
      <c r="A9" s="16">
        <v>6</v>
      </c>
      <c r="B9" s="16" t="s">
        <v>22</v>
      </c>
      <c r="C9" s="17" t="s">
        <v>23</v>
      </c>
      <c r="D9" s="16" t="s">
        <v>17</v>
      </c>
      <c r="E9" s="18">
        <v>317.73</v>
      </c>
      <c r="F9" s="18">
        <v>295.14</v>
      </c>
      <c r="G9" s="18">
        <f t="shared" si="0"/>
        <v>22.590000000000032</v>
      </c>
      <c r="H9" s="19">
        <v>17.079999999999998</v>
      </c>
      <c r="I9" s="20">
        <v>296818</v>
      </c>
      <c r="J9" s="20">
        <f t="shared" si="1"/>
        <v>5069651.4399999995</v>
      </c>
      <c r="K9" s="21">
        <v>0.10646400848901549</v>
      </c>
      <c r="L9" s="21">
        <v>5.375633399427187E-2</v>
      </c>
    </row>
    <row r="10" spans="1:12" ht="21.95" customHeight="1" x14ac:dyDescent="0.2">
      <c r="A10" s="16">
        <v>7</v>
      </c>
      <c r="B10" s="16" t="s">
        <v>24</v>
      </c>
      <c r="C10" s="17" t="s">
        <v>25</v>
      </c>
      <c r="D10" s="16" t="s">
        <v>12</v>
      </c>
      <c r="E10" s="18">
        <v>673.85</v>
      </c>
      <c r="F10" s="18">
        <v>655.09</v>
      </c>
      <c r="G10" s="18">
        <f t="shared" si="0"/>
        <v>18.759999999999991</v>
      </c>
      <c r="H10" s="19">
        <v>14.702</v>
      </c>
      <c r="I10" s="20">
        <v>129610</v>
      </c>
      <c r="J10" s="20">
        <f t="shared" si="1"/>
        <v>1905526.22</v>
      </c>
      <c r="K10" s="21">
        <v>4.0016549867996777E-2</v>
      </c>
      <c r="L10" s="21">
        <v>2.181791199821919E-2</v>
      </c>
    </row>
    <row r="11" spans="1:12" ht="21.95" customHeight="1" x14ac:dyDescent="0.2">
      <c r="A11" s="16">
        <v>8</v>
      </c>
      <c r="B11" s="16" t="s">
        <v>26</v>
      </c>
      <c r="C11" s="17" t="s">
        <v>27</v>
      </c>
      <c r="D11" s="16" t="s">
        <v>12</v>
      </c>
      <c r="E11" s="18">
        <v>619.65</v>
      </c>
      <c r="F11" s="18">
        <v>598.39</v>
      </c>
      <c r="G11" s="18">
        <f t="shared" si="0"/>
        <v>21.259999999999991</v>
      </c>
      <c r="H11" s="19">
        <v>12.457000000000001</v>
      </c>
      <c r="I11" s="20">
        <v>66922</v>
      </c>
      <c r="J11" s="20">
        <f t="shared" si="1"/>
        <v>833647.35400000005</v>
      </c>
      <c r="K11" s="21">
        <v>1.7506812849662368E-2</v>
      </c>
      <c r="L11" s="21">
        <v>2.0103284111998711E-2</v>
      </c>
    </row>
    <row r="12" spans="1:12" ht="21.95" customHeight="1" x14ac:dyDescent="0.2">
      <c r="A12" s="16">
        <v>9</v>
      </c>
      <c r="B12" s="16" t="s">
        <v>28</v>
      </c>
      <c r="C12" s="17" t="s">
        <v>29</v>
      </c>
      <c r="D12" s="16" t="s">
        <v>30</v>
      </c>
      <c r="E12" s="18">
        <v>636.86</v>
      </c>
      <c r="F12" s="18">
        <v>617.26</v>
      </c>
      <c r="G12" s="18">
        <f t="shared" si="0"/>
        <v>19.600000000000023</v>
      </c>
      <c r="H12" s="19">
        <v>12.444000000000001</v>
      </c>
      <c r="I12" s="20">
        <v>118000</v>
      </c>
      <c r="J12" s="20">
        <f t="shared" si="1"/>
        <v>1468392</v>
      </c>
      <c r="K12" s="21">
        <v>3.083661671880198E-2</v>
      </c>
      <c r="L12" s="21">
        <v>1.9539616242188241E-2</v>
      </c>
    </row>
    <row r="13" spans="1:12" ht="21.95" customHeight="1" x14ac:dyDescent="0.2">
      <c r="A13" s="16">
        <v>10</v>
      </c>
      <c r="B13" s="16" t="s">
        <v>31</v>
      </c>
      <c r="C13" s="17" t="s">
        <v>32</v>
      </c>
      <c r="D13" s="16" t="s">
        <v>30</v>
      </c>
      <c r="E13" s="18">
        <v>342.46</v>
      </c>
      <c r="F13" s="18">
        <v>327.8</v>
      </c>
      <c r="G13" s="18">
        <f t="shared" si="0"/>
        <v>14.659999999999968</v>
      </c>
      <c r="H13" s="19">
        <v>11.97</v>
      </c>
      <c r="I13" s="20">
        <v>69556</v>
      </c>
      <c r="J13" s="20">
        <f t="shared" si="1"/>
        <v>832585.32000000007</v>
      </c>
      <c r="K13" s="21">
        <v>1.7484509857409389E-2</v>
      </c>
      <c r="L13" s="21">
        <v>3.4952987210185138E-2</v>
      </c>
    </row>
    <row r="14" spans="1:12" ht="21.95" customHeight="1" x14ac:dyDescent="0.2">
      <c r="A14" s="16">
        <v>11</v>
      </c>
      <c r="B14" s="16" t="s">
        <v>33</v>
      </c>
      <c r="C14" s="17" t="s">
        <v>34</v>
      </c>
      <c r="D14" s="16" t="s">
        <v>17</v>
      </c>
      <c r="E14" s="18">
        <v>210.81</v>
      </c>
      <c r="F14" s="18">
        <v>200.12</v>
      </c>
      <c r="G14" s="18">
        <f t="shared" si="0"/>
        <v>10.689999999999998</v>
      </c>
      <c r="H14" s="19">
        <v>10.465999999999999</v>
      </c>
      <c r="I14" s="20">
        <v>246000</v>
      </c>
      <c r="J14" s="20">
        <f t="shared" si="1"/>
        <v>2574636</v>
      </c>
      <c r="K14" s="21">
        <v>5.4068030554803782E-2</v>
      </c>
      <c r="L14" s="21">
        <v>4.9646601204876427E-2</v>
      </c>
    </row>
    <row r="15" spans="1:12" ht="21.95" customHeight="1" x14ac:dyDescent="0.2">
      <c r="A15" s="16">
        <v>12</v>
      </c>
      <c r="B15" s="16" t="s">
        <v>35</v>
      </c>
      <c r="C15" s="17" t="s">
        <v>36</v>
      </c>
      <c r="D15" s="16" t="s">
        <v>12</v>
      </c>
      <c r="E15" s="18">
        <v>350.03</v>
      </c>
      <c r="F15" s="18">
        <v>338.01</v>
      </c>
      <c r="G15" s="18">
        <f t="shared" si="0"/>
        <v>12.019999999999982</v>
      </c>
      <c r="H15" s="19">
        <v>10.247</v>
      </c>
      <c r="I15" s="20">
        <v>89256</v>
      </c>
      <c r="J15" s="20">
        <f t="shared" si="1"/>
        <v>914606.23199999996</v>
      </c>
      <c r="K15" s="21">
        <v>1.9206970498893809E-2</v>
      </c>
      <c r="L15" s="21">
        <v>2.9274633602834041E-2</v>
      </c>
    </row>
    <row r="16" spans="1:12" ht="21.95" customHeight="1" x14ac:dyDescent="0.2">
      <c r="A16" s="16">
        <v>13</v>
      </c>
      <c r="B16" s="16" t="s">
        <v>37</v>
      </c>
      <c r="C16" s="17" t="s">
        <v>38</v>
      </c>
      <c r="D16" s="16" t="s">
        <v>12</v>
      </c>
      <c r="E16" s="18">
        <v>412.98</v>
      </c>
      <c r="F16" s="18">
        <v>401.56</v>
      </c>
      <c r="G16" s="18">
        <f t="shared" si="0"/>
        <v>11.420000000000016</v>
      </c>
      <c r="H16" s="19">
        <v>9.984</v>
      </c>
      <c r="I16" s="20">
        <v>103549</v>
      </c>
      <c r="J16" s="20">
        <f t="shared" si="1"/>
        <v>1033833.216</v>
      </c>
      <c r="K16" s="21">
        <v>2.1710768400371571E-2</v>
      </c>
      <c r="L16" s="21">
        <v>2.4175504867063779E-2</v>
      </c>
    </row>
    <row r="17" spans="1:12" ht="21.95" customHeight="1" x14ac:dyDescent="0.2">
      <c r="A17" s="16">
        <v>14</v>
      </c>
      <c r="B17" s="16" t="s">
        <v>39</v>
      </c>
      <c r="C17" s="17" t="s">
        <v>40</v>
      </c>
      <c r="D17" s="16" t="s">
        <v>30</v>
      </c>
      <c r="E17" s="18">
        <v>405.42</v>
      </c>
      <c r="F17" s="18">
        <v>389.1</v>
      </c>
      <c r="G17" s="18">
        <f t="shared" si="0"/>
        <v>16.319999999999993</v>
      </c>
      <c r="H17" s="19">
        <v>9.3260000000000005</v>
      </c>
      <c r="I17" s="20">
        <v>86376</v>
      </c>
      <c r="J17" s="20">
        <f t="shared" si="1"/>
        <v>805542.576</v>
      </c>
      <c r="K17" s="21">
        <v>1.6916605148208658E-2</v>
      </c>
      <c r="L17" s="21">
        <v>2.3003305214345619E-2</v>
      </c>
    </row>
    <row r="18" spans="1:12" ht="21.95" customHeight="1" x14ac:dyDescent="0.2">
      <c r="A18" s="16">
        <v>15</v>
      </c>
      <c r="B18" s="16" t="s">
        <v>41</v>
      </c>
      <c r="C18" s="17" t="s">
        <v>42</v>
      </c>
      <c r="D18" s="16" t="s">
        <v>30</v>
      </c>
      <c r="E18" s="18">
        <v>483</v>
      </c>
      <c r="F18" s="18">
        <v>470.19</v>
      </c>
      <c r="G18" s="18">
        <f t="shared" si="0"/>
        <v>12.810000000000002</v>
      </c>
      <c r="H18" s="19">
        <v>9.0869999999999997</v>
      </c>
      <c r="I18" s="20">
        <v>66000</v>
      </c>
      <c r="J18" s="20">
        <f t="shared" si="1"/>
        <v>599742</v>
      </c>
      <c r="K18" s="21">
        <v>1.259473913244402E-2</v>
      </c>
      <c r="L18" s="21">
        <v>1.8813664596273288E-2</v>
      </c>
    </row>
    <row r="19" spans="1:12" ht="24" customHeight="1" thickBot="1" x14ac:dyDescent="0.25">
      <c r="A19" s="22"/>
      <c r="B19" s="23"/>
      <c r="C19" s="23"/>
      <c r="D19" s="23"/>
      <c r="E19" s="24">
        <f>SUM(E4:E18)</f>
        <v>20057.742999999999</v>
      </c>
      <c r="F19" s="24">
        <f>SUM(F4:F18)</f>
        <v>19688.305999999993</v>
      </c>
      <c r="G19" s="24">
        <f>SUM(G4:G18)</f>
        <v>369.43699999999939</v>
      </c>
      <c r="H19" s="25">
        <f>SUM(H4:H18)</f>
        <v>282.61899999999997</v>
      </c>
      <c r="I19" s="23"/>
      <c r="J19" s="26">
        <f>SUM(J4:J18)</f>
        <v>36643201.811999992</v>
      </c>
      <c r="K19" s="27">
        <f>SUM(K4:K18)</f>
        <v>0.76951683857331965</v>
      </c>
      <c r="L19" s="27">
        <f>H19/E19</f>
        <v>1.4090269279050988E-2</v>
      </c>
    </row>
    <row r="20" spans="1:12" ht="13.5" thickTop="1" x14ac:dyDescent="0.2"/>
  </sheetData>
  <autoFilter ref="A3:L19" xr:uid="{00000000-0001-0000-0000-000000000000}"/>
  <mergeCells count="1">
    <mergeCell ref="A1:L1"/>
  </mergeCells>
  <conditionalFormatting sqref="L4:L18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workbookViewId="0">
      <selection activeCell="G18" sqref="G18"/>
    </sheetView>
  </sheetViews>
  <sheetFormatPr defaultRowHeight="12.75" x14ac:dyDescent="0.2"/>
  <cols>
    <col min="1" max="1" width="11" style="15" bestFit="1" customWidth="1"/>
    <col min="2" max="2" width="19.140625" style="15" bestFit="1" customWidth="1"/>
    <col min="3" max="3" width="17" style="15" bestFit="1" customWidth="1"/>
    <col min="4" max="4" width="15.28515625" style="15" bestFit="1" customWidth="1"/>
    <col min="5" max="5" width="15.5703125" style="15" bestFit="1" customWidth="1"/>
    <col min="6" max="6" width="13.28515625" style="15" bestFit="1" customWidth="1"/>
    <col min="7" max="8" width="16.28515625" style="15" bestFit="1" customWidth="1"/>
    <col min="9" max="9" width="10.5703125" style="15" bestFit="1" customWidth="1"/>
    <col min="10" max="10" width="64.5703125" style="15" bestFit="1" customWidth="1"/>
    <col min="11" max="16384" width="9.140625" style="15"/>
  </cols>
  <sheetData>
    <row r="1" spans="1:10" s="28" customFormat="1" ht="30" customHeight="1" x14ac:dyDescent="0.3">
      <c r="A1" s="13" t="s">
        <v>160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7.95" customHeight="1" x14ac:dyDescent="0.2">
      <c r="A3" s="29" t="s">
        <v>43</v>
      </c>
      <c r="B3" s="29" t="s">
        <v>44</v>
      </c>
      <c r="C3" s="29" t="s">
        <v>153</v>
      </c>
      <c r="D3" s="29" t="s">
        <v>154</v>
      </c>
      <c r="E3" s="29" t="s">
        <v>5</v>
      </c>
      <c r="F3" s="29" t="s">
        <v>148</v>
      </c>
      <c r="G3" s="29" t="s">
        <v>7</v>
      </c>
      <c r="H3" s="29" t="s">
        <v>8</v>
      </c>
      <c r="I3" s="29" t="s">
        <v>9</v>
      </c>
      <c r="J3" s="29" t="s">
        <v>155</v>
      </c>
    </row>
    <row r="4" spans="1:10" ht="24" customHeight="1" x14ac:dyDescent="0.2">
      <c r="A4" s="16" t="s">
        <v>12</v>
      </c>
      <c r="B4" s="30" t="s">
        <v>45</v>
      </c>
      <c r="C4" s="18">
        <v>19816.03</v>
      </c>
      <c r="D4" s="18">
        <v>19454.02</v>
      </c>
      <c r="E4" s="18">
        <f>C4-D4</f>
        <v>362.0099999999984</v>
      </c>
      <c r="F4" s="19">
        <v>243.983</v>
      </c>
      <c r="G4" s="20">
        <v>26688002</v>
      </c>
      <c r="H4" s="21">
        <f>G4/$G$8</f>
        <v>0.56045504040208949</v>
      </c>
      <c r="I4" s="21">
        <f>F4/C4</f>
        <v>1.2312405663495667E-2</v>
      </c>
      <c r="J4" s="17" t="s">
        <v>158</v>
      </c>
    </row>
    <row r="5" spans="1:10" ht="24" customHeight="1" x14ac:dyDescent="0.2">
      <c r="A5" s="16" t="s">
        <v>17</v>
      </c>
      <c r="B5" s="30" t="s">
        <v>46</v>
      </c>
      <c r="C5" s="18">
        <v>1905.34</v>
      </c>
      <c r="D5" s="18">
        <v>1848.34</v>
      </c>
      <c r="E5" s="18">
        <f t="shared" ref="E5:E7" si="0">C5-D5</f>
        <v>57</v>
      </c>
      <c r="F5" s="19">
        <v>66.097999999999999</v>
      </c>
      <c r="G5" s="20">
        <v>15178574</v>
      </c>
      <c r="H5" s="21">
        <f t="shared" ref="H5:H7" si="1">G5/$G$8</f>
        <v>0.31875403428162608</v>
      </c>
      <c r="I5" s="21">
        <f t="shared" ref="I5:I7" si="2">F5/C5</f>
        <v>3.4690921305383815E-2</v>
      </c>
      <c r="J5" s="17" t="s">
        <v>156</v>
      </c>
    </row>
    <row r="6" spans="1:10" ht="24" customHeight="1" x14ac:dyDescent="0.2">
      <c r="A6" s="16" t="s">
        <v>30</v>
      </c>
      <c r="B6" s="30" t="s">
        <v>47</v>
      </c>
      <c r="C6" s="18">
        <v>7365.58</v>
      </c>
      <c r="D6" s="18">
        <v>7253.99</v>
      </c>
      <c r="E6" s="18">
        <f t="shared" si="0"/>
        <v>111.59000000000015</v>
      </c>
      <c r="F6" s="19">
        <v>61.343000000000004</v>
      </c>
      <c r="G6" s="20">
        <v>4823753</v>
      </c>
      <c r="H6" s="21">
        <f t="shared" si="1"/>
        <v>0.10130007793407317</v>
      </c>
      <c r="I6" s="21">
        <f t="shared" si="2"/>
        <v>8.3283325956679585E-3</v>
      </c>
      <c r="J6" s="17" t="s">
        <v>157</v>
      </c>
    </row>
    <row r="7" spans="1:10" ht="24" customHeight="1" x14ac:dyDescent="0.2">
      <c r="A7" s="16" t="s">
        <v>48</v>
      </c>
      <c r="B7" s="30" t="s">
        <v>49</v>
      </c>
      <c r="C7" s="18">
        <v>258.39999999999998</v>
      </c>
      <c r="D7" s="18">
        <v>249.25</v>
      </c>
      <c r="E7" s="18">
        <f t="shared" si="0"/>
        <v>9.1499999999999773</v>
      </c>
      <c r="F7" s="19">
        <v>4.25</v>
      </c>
      <c r="G7" s="20">
        <v>928124</v>
      </c>
      <c r="H7" s="21">
        <f t="shared" si="1"/>
        <v>1.9490847382211261E-2</v>
      </c>
      <c r="I7" s="21">
        <f t="shared" si="2"/>
        <v>1.6447368421052634E-2</v>
      </c>
      <c r="J7" s="17" t="s">
        <v>157</v>
      </c>
    </row>
    <row r="8" spans="1:10" ht="26.1" customHeight="1" x14ac:dyDescent="0.2">
      <c r="A8" s="22" t="s">
        <v>50</v>
      </c>
      <c r="B8" s="23" t="s">
        <v>152</v>
      </c>
      <c r="C8" s="24">
        <f t="shared" ref="C8:H8" si="3">SUM(C4:C7)</f>
        <v>29345.35</v>
      </c>
      <c r="D8" s="24">
        <f t="shared" si="3"/>
        <v>28805.599999999999</v>
      </c>
      <c r="E8" s="24">
        <f t="shared" si="3"/>
        <v>539.74999999999852</v>
      </c>
      <c r="F8" s="25">
        <f t="shared" si="3"/>
        <v>375.67400000000004</v>
      </c>
      <c r="G8" s="26">
        <f t="shared" si="3"/>
        <v>47618453</v>
      </c>
      <c r="H8" s="27">
        <f t="shared" si="3"/>
        <v>1</v>
      </c>
      <c r="I8" s="27">
        <f>F8/C8</f>
        <v>1.2801823798318986E-2</v>
      </c>
      <c r="J8" s="23" t="s">
        <v>151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6"/>
  <sheetViews>
    <sheetView workbookViewId="0">
      <selection activeCell="C6" sqref="C6"/>
    </sheetView>
  </sheetViews>
  <sheetFormatPr defaultRowHeight="15" x14ac:dyDescent="0.25"/>
  <cols>
    <col min="1" max="1" width="3.5703125" style="1" bestFit="1" customWidth="1"/>
    <col min="2" max="2" width="8" style="1" bestFit="1" customWidth="1"/>
    <col min="3" max="3" width="51" style="1" bestFit="1" customWidth="1"/>
    <col min="4" max="4" width="26.140625" style="1" bestFit="1" customWidth="1"/>
    <col min="5" max="5" width="12.7109375" style="1" bestFit="1" customWidth="1"/>
    <col min="6" max="6" width="11" style="1" bestFit="1" customWidth="1"/>
    <col min="7" max="7" width="15.5703125" style="1" bestFit="1" customWidth="1"/>
    <col min="8" max="8" width="17.85546875" style="1" bestFit="1" customWidth="1"/>
    <col min="9" max="9" width="15" style="1" bestFit="1" customWidth="1"/>
    <col min="10" max="11" width="16.28515625" style="1" bestFit="1" customWidth="1"/>
    <col min="12" max="12" width="10.5703125" style="1" bestFit="1" customWidth="1"/>
    <col min="13" max="16384" width="9.140625" style="1"/>
  </cols>
  <sheetData>
    <row r="1" spans="1:12" ht="25.5" customHeight="1" x14ac:dyDescent="0.25">
      <c r="A1" s="11" t="s">
        <v>159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ht="27.95" customHeight="1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146</v>
      </c>
      <c r="F3" s="7" t="s">
        <v>147</v>
      </c>
      <c r="G3" s="7" t="s">
        <v>5</v>
      </c>
      <c r="H3" s="7" t="s">
        <v>148</v>
      </c>
      <c r="I3" s="7" t="s">
        <v>6</v>
      </c>
      <c r="J3" s="7" t="s">
        <v>7</v>
      </c>
      <c r="K3" s="7" t="s">
        <v>8</v>
      </c>
      <c r="L3" s="7" t="s">
        <v>9</v>
      </c>
    </row>
    <row r="4" spans="1:12" ht="20.100000000000001" customHeight="1" x14ac:dyDescent="0.25">
      <c r="A4" s="2">
        <v>1</v>
      </c>
      <c r="B4" s="2" t="s">
        <v>10</v>
      </c>
      <c r="C4" s="8" t="s">
        <v>11</v>
      </c>
      <c r="D4" s="2" t="s">
        <v>12</v>
      </c>
      <c r="E4" s="3">
        <v>7361.2979999999998</v>
      </c>
      <c r="F4" s="3">
        <v>7278.8490000000002</v>
      </c>
      <c r="G4" s="3">
        <f>E4-F4</f>
        <v>82.448999999999614</v>
      </c>
      <c r="H4" s="4">
        <v>66.141999999999996</v>
      </c>
      <c r="I4" s="5">
        <v>88908</v>
      </c>
      <c r="J4" s="5">
        <v>5880552.9359999998</v>
      </c>
      <c r="K4" s="6">
        <f>J4/$J$66</f>
        <v>0.1234931523612616</v>
      </c>
      <c r="L4" s="6">
        <f>H4/E4</f>
        <v>8.9851001820602829E-3</v>
      </c>
    </row>
    <row r="5" spans="1:12" ht="20.100000000000001" customHeight="1" x14ac:dyDescent="0.25">
      <c r="A5" s="2">
        <v>6</v>
      </c>
      <c r="B5" s="2" t="s">
        <v>22</v>
      </c>
      <c r="C5" s="8" t="s">
        <v>23</v>
      </c>
      <c r="D5" s="2" t="s">
        <v>17</v>
      </c>
      <c r="E5" s="3">
        <v>317.73</v>
      </c>
      <c r="F5" s="3">
        <v>295.14</v>
      </c>
      <c r="G5" s="3">
        <f t="shared" ref="G5:G65" si="0">E5-F5</f>
        <v>22.590000000000032</v>
      </c>
      <c r="H5" s="4">
        <v>17.079999999999998</v>
      </c>
      <c r="I5" s="5">
        <v>296818</v>
      </c>
      <c r="J5" s="5">
        <v>5069651.4400000004</v>
      </c>
      <c r="K5" s="6">
        <f t="shared" ref="K5:K65" si="1">J5/$J$66</f>
        <v>0.10646400848901555</v>
      </c>
      <c r="L5" s="6">
        <f t="shared" ref="L5:L65" si="2">H5/E5</f>
        <v>5.3756333994271856E-2</v>
      </c>
    </row>
    <row r="6" spans="1:12" ht="20.100000000000001" customHeight="1" x14ac:dyDescent="0.25">
      <c r="A6" s="2">
        <v>2</v>
      </c>
      <c r="B6" s="2" t="s">
        <v>13</v>
      </c>
      <c r="C6" s="8" t="s">
        <v>14</v>
      </c>
      <c r="D6" s="2" t="s">
        <v>12</v>
      </c>
      <c r="E6" s="3">
        <v>4789.8379999999997</v>
      </c>
      <c r="F6" s="3">
        <v>4742.0739999999996</v>
      </c>
      <c r="G6" s="3">
        <f t="shared" si="0"/>
        <v>47.764000000000124</v>
      </c>
      <c r="H6" s="4">
        <v>35.137999999999998</v>
      </c>
      <c r="I6" s="5">
        <v>134313</v>
      </c>
      <c r="J6" s="5">
        <v>4719490.1940000001</v>
      </c>
      <c r="K6" s="6">
        <f t="shared" si="1"/>
        <v>9.9110530580745732E-2</v>
      </c>
      <c r="L6" s="6">
        <f t="shared" si="2"/>
        <v>7.3359474788082602E-3</v>
      </c>
    </row>
    <row r="7" spans="1:12" ht="20.100000000000001" customHeight="1" x14ac:dyDescent="0.25">
      <c r="A7" s="2">
        <v>3</v>
      </c>
      <c r="B7" s="2" t="s">
        <v>15</v>
      </c>
      <c r="C7" s="8" t="s">
        <v>16</v>
      </c>
      <c r="D7" s="2" t="s">
        <v>17</v>
      </c>
      <c r="E7" s="3">
        <v>429.61</v>
      </c>
      <c r="F7" s="3">
        <v>402.41</v>
      </c>
      <c r="G7" s="3">
        <f t="shared" si="0"/>
        <v>27.199999999999989</v>
      </c>
      <c r="H7" s="4">
        <v>25.463999999999999</v>
      </c>
      <c r="I7" s="5">
        <v>183452</v>
      </c>
      <c r="J7" s="5">
        <v>4671421.7280000001</v>
      </c>
      <c r="K7" s="6">
        <f t="shared" si="1"/>
        <v>9.8101080200804436E-2</v>
      </c>
      <c r="L7" s="6">
        <f t="shared" si="2"/>
        <v>5.9272363306254502E-2</v>
      </c>
    </row>
    <row r="8" spans="1:12" ht="20.100000000000001" customHeight="1" x14ac:dyDescent="0.25">
      <c r="A8" s="2">
        <v>5</v>
      </c>
      <c r="B8" s="2" t="s">
        <v>20</v>
      </c>
      <c r="C8" s="8" t="s">
        <v>21</v>
      </c>
      <c r="D8" s="2" t="s">
        <v>12</v>
      </c>
      <c r="E8" s="3">
        <v>2447.2869999999998</v>
      </c>
      <c r="F8" s="3">
        <v>2415.7930000000001</v>
      </c>
      <c r="G8" s="3">
        <f t="shared" si="0"/>
        <v>31.493999999999687</v>
      </c>
      <c r="H8" s="4">
        <v>18.655000000000001</v>
      </c>
      <c r="I8" s="5">
        <v>194834</v>
      </c>
      <c r="J8" s="5">
        <v>3634628.27</v>
      </c>
      <c r="K8" s="6">
        <f t="shared" si="1"/>
        <v>7.6328145942849257E-2</v>
      </c>
      <c r="L8" s="6">
        <f t="shared" si="2"/>
        <v>7.6227267173813295E-3</v>
      </c>
    </row>
    <row r="9" spans="1:12" ht="20.100000000000001" customHeight="1" x14ac:dyDescent="0.25">
      <c r="A9" s="2">
        <v>11</v>
      </c>
      <c r="B9" s="2" t="s">
        <v>33</v>
      </c>
      <c r="C9" s="8" t="s">
        <v>34</v>
      </c>
      <c r="D9" s="2" t="s">
        <v>17</v>
      </c>
      <c r="E9" s="3">
        <v>210.81</v>
      </c>
      <c r="F9" s="3">
        <v>200.12</v>
      </c>
      <c r="G9" s="3">
        <f t="shared" si="0"/>
        <v>10.689999999999998</v>
      </c>
      <c r="H9" s="4">
        <v>10.465999999999999</v>
      </c>
      <c r="I9" s="5">
        <v>246000</v>
      </c>
      <c r="J9" s="5">
        <v>2574636</v>
      </c>
      <c r="K9" s="6">
        <f t="shared" si="1"/>
        <v>5.4068030554803789E-2</v>
      </c>
      <c r="L9" s="6">
        <f t="shared" si="2"/>
        <v>4.9646601204876427E-2</v>
      </c>
    </row>
    <row r="10" spans="1:12" ht="20.100000000000001" customHeight="1" x14ac:dyDescent="0.25">
      <c r="A10" s="2">
        <v>7</v>
      </c>
      <c r="B10" s="2" t="s">
        <v>24</v>
      </c>
      <c r="C10" s="8" t="s">
        <v>25</v>
      </c>
      <c r="D10" s="2" t="s">
        <v>12</v>
      </c>
      <c r="E10" s="3">
        <v>673.85</v>
      </c>
      <c r="F10" s="3">
        <v>655.09</v>
      </c>
      <c r="G10" s="3">
        <f t="shared" si="0"/>
        <v>18.759999999999991</v>
      </c>
      <c r="H10" s="4">
        <v>14.702</v>
      </c>
      <c r="I10" s="5">
        <v>129610</v>
      </c>
      <c r="J10" s="5">
        <v>1905526.22</v>
      </c>
      <c r="K10" s="6">
        <f t="shared" si="1"/>
        <v>4.0016549867996784E-2</v>
      </c>
      <c r="L10" s="6">
        <f t="shared" si="2"/>
        <v>2.1817911998219187E-2</v>
      </c>
    </row>
    <row r="11" spans="1:12" ht="20.100000000000001" customHeight="1" x14ac:dyDescent="0.25">
      <c r="A11" s="2">
        <v>4</v>
      </c>
      <c r="B11" s="2" t="s">
        <v>18</v>
      </c>
      <c r="C11" s="8" t="s">
        <v>19</v>
      </c>
      <c r="D11" s="2" t="s">
        <v>12</v>
      </c>
      <c r="E11" s="3">
        <v>576.91999999999996</v>
      </c>
      <c r="F11" s="3">
        <v>556.52</v>
      </c>
      <c r="G11" s="3">
        <f t="shared" si="0"/>
        <v>20.399999999999977</v>
      </c>
      <c r="H11" s="4">
        <v>19.457000000000001</v>
      </c>
      <c r="I11" s="5">
        <v>87318</v>
      </c>
      <c r="J11" s="5">
        <v>1698946.3259999999</v>
      </c>
      <c r="K11" s="6">
        <f t="shared" si="1"/>
        <v>3.567831797005077E-2</v>
      </c>
      <c r="L11" s="6">
        <f t="shared" si="2"/>
        <v>3.3725646536781534E-2</v>
      </c>
    </row>
    <row r="12" spans="1:12" ht="20.100000000000001" customHeight="1" x14ac:dyDescent="0.25">
      <c r="A12" s="2">
        <v>21</v>
      </c>
      <c r="B12" s="2" t="s">
        <v>61</v>
      </c>
      <c r="C12" s="8" t="s">
        <v>62</v>
      </c>
      <c r="D12" s="2" t="s">
        <v>17</v>
      </c>
      <c r="E12" s="3">
        <v>144.25</v>
      </c>
      <c r="F12" s="3">
        <v>136.13</v>
      </c>
      <c r="G12" s="3">
        <f t="shared" si="0"/>
        <v>8.1200000000000045</v>
      </c>
      <c r="H12" s="4">
        <v>6.8390000000000004</v>
      </c>
      <c r="I12" s="5">
        <v>245000</v>
      </c>
      <c r="J12" s="5">
        <v>1675555</v>
      </c>
      <c r="K12" s="6">
        <f t="shared" si="1"/>
        <v>3.51870939955218E-2</v>
      </c>
      <c r="L12" s="6">
        <f t="shared" si="2"/>
        <v>4.7410745233968807E-2</v>
      </c>
    </row>
    <row r="13" spans="1:12" ht="20.100000000000001" customHeight="1" x14ac:dyDescent="0.25">
      <c r="A13" s="2">
        <v>18</v>
      </c>
      <c r="B13" s="2" t="s">
        <v>55</v>
      </c>
      <c r="C13" s="8" t="s">
        <v>56</v>
      </c>
      <c r="D13" s="2" t="s">
        <v>12</v>
      </c>
      <c r="E13" s="3">
        <v>283.70999999999998</v>
      </c>
      <c r="F13" s="3">
        <v>273.29000000000002</v>
      </c>
      <c r="G13" s="3">
        <f t="shared" si="0"/>
        <v>10.419999999999959</v>
      </c>
      <c r="H13" s="4">
        <v>7.4969999999999999</v>
      </c>
      <c r="I13" s="5">
        <v>196602</v>
      </c>
      <c r="J13" s="5">
        <v>1473925.1939999999</v>
      </c>
      <c r="K13" s="6">
        <f t="shared" si="1"/>
        <v>3.0952815242499172E-2</v>
      </c>
      <c r="L13" s="6">
        <f t="shared" si="2"/>
        <v>2.6424870466321245E-2</v>
      </c>
    </row>
    <row r="14" spans="1:12" ht="20.100000000000001" customHeight="1" x14ac:dyDescent="0.25">
      <c r="A14" s="2">
        <v>9</v>
      </c>
      <c r="B14" s="2" t="s">
        <v>28</v>
      </c>
      <c r="C14" s="8" t="s">
        <v>29</v>
      </c>
      <c r="D14" s="2" t="s">
        <v>30</v>
      </c>
      <c r="E14" s="3">
        <v>636.86</v>
      </c>
      <c r="F14" s="3">
        <v>617.26</v>
      </c>
      <c r="G14" s="3">
        <f t="shared" si="0"/>
        <v>19.600000000000023</v>
      </c>
      <c r="H14" s="4">
        <v>12.444000000000001</v>
      </c>
      <c r="I14" s="5">
        <v>118000</v>
      </c>
      <c r="J14" s="5">
        <v>1468392</v>
      </c>
      <c r="K14" s="6">
        <f t="shared" si="1"/>
        <v>3.0836616718801977E-2</v>
      </c>
      <c r="L14" s="6">
        <f t="shared" si="2"/>
        <v>1.9539616242188237E-2</v>
      </c>
    </row>
    <row r="15" spans="1:12" ht="20.100000000000001" customHeight="1" x14ac:dyDescent="0.25">
      <c r="A15" s="2">
        <v>23</v>
      </c>
      <c r="B15" s="2" t="s">
        <v>65</v>
      </c>
      <c r="C15" s="8" t="s">
        <v>66</v>
      </c>
      <c r="D15" s="2" t="s">
        <v>17</v>
      </c>
      <c r="E15" s="3">
        <v>157.77000000000001</v>
      </c>
      <c r="F15" s="3">
        <v>149.77000000000001</v>
      </c>
      <c r="G15" s="3">
        <f t="shared" si="0"/>
        <v>8</v>
      </c>
      <c r="H15" s="4">
        <v>6.2490000000000014</v>
      </c>
      <c r="I15" s="5">
        <v>190000</v>
      </c>
      <c r="J15" s="5">
        <v>1187310</v>
      </c>
      <c r="K15" s="6">
        <f t="shared" si="1"/>
        <v>2.493382107529922E-2</v>
      </c>
      <c r="L15" s="6">
        <f t="shared" si="2"/>
        <v>3.9608290549534138E-2</v>
      </c>
    </row>
    <row r="16" spans="1:12" ht="20.100000000000001" customHeight="1" x14ac:dyDescent="0.25">
      <c r="A16" s="2">
        <v>13</v>
      </c>
      <c r="B16" s="2" t="s">
        <v>37</v>
      </c>
      <c r="C16" s="8" t="s">
        <v>38</v>
      </c>
      <c r="D16" s="2" t="s">
        <v>12</v>
      </c>
      <c r="E16" s="3">
        <v>412.98</v>
      </c>
      <c r="F16" s="3">
        <v>401.56</v>
      </c>
      <c r="G16" s="3">
        <f t="shared" si="0"/>
        <v>11.420000000000016</v>
      </c>
      <c r="H16" s="4">
        <v>9.984</v>
      </c>
      <c r="I16" s="5">
        <v>103549</v>
      </c>
      <c r="J16" s="5">
        <v>1033833.216</v>
      </c>
      <c r="K16" s="6">
        <f t="shared" si="1"/>
        <v>2.1710768400371571E-2</v>
      </c>
      <c r="L16" s="6">
        <f t="shared" si="2"/>
        <v>2.4175504867063779E-2</v>
      </c>
    </row>
    <row r="17" spans="1:12" ht="20.100000000000001" customHeight="1" x14ac:dyDescent="0.25">
      <c r="A17" s="2">
        <v>16</v>
      </c>
      <c r="B17" s="2" t="s">
        <v>51</v>
      </c>
      <c r="C17" s="8" t="s">
        <v>52</v>
      </c>
      <c r="D17" s="2" t="s">
        <v>12</v>
      </c>
      <c r="E17" s="3">
        <v>370.67</v>
      </c>
      <c r="F17" s="3">
        <v>359.21</v>
      </c>
      <c r="G17" s="3">
        <f t="shared" si="0"/>
        <v>11.460000000000036</v>
      </c>
      <c r="H17" s="4">
        <v>8.7430000000000003</v>
      </c>
      <c r="I17" s="5">
        <v>114353</v>
      </c>
      <c r="J17" s="5">
        <v>999788.27899999998</v>
      </c>
      <c r="K17" s="6">
        <f t="shared" si="1"/>
        <v>2.0995815803595805E-2</v>
      </c>
      <c r="L17" s="6">
        <f t="shared" si="2"/>
        <v>2.3587018102355195E-2</v>
      </c>
    </row>
    <row r="18" spans="1:12" ht="20.100000000000001" customHeight="1" x14ac:dyDescent="0.25">
      <c r="A18" s="2">
        <v>12</v>
      </c>
      <c r="B18" s="2" t="s">
        <v>35</v>
      </c>
      <c r="C18" s="8" t="s">
        <v>36</v>
      </c>
      <c r="D18" s="2" t="s">
        <v>12</v>
      </c>
      <c r="E18" s="3">
        <v>350.03</v>
      </c>
      <c r="F18" s="3">
        <v>338.01</v>
      </c>
      <c r="G18" s="3">
        <f t="shared" si="0"/>
        <v>12.019999999999982</v>
      </c>
      <c r="H18" s="4">
        <v>10.247</v>
      </c>
      <c r="I18" s="5">
        <v>89256</v>
      </c>
      <c r="J18" s="5">
        <v>914606.23200000008</v>
      </c>
      <c r="K18" s="6">
        <f t="shared" si="1"/>
        <v>1.9206970498893812E-2</v>
      </c>
      <c r="L18" s="6">
        <f t="shared" si="2"/>
        <v>2.9274633602834044E-2</v>
      </c>
    </row>
    <row r="19" spans="1:12" ht="20.100000000000001" customHeight="1" x14ac:dyDescent="0.25">
      <c r="A19" s="2">
        <v>8</v>
      </c>
      <c r="B19" s="2" t="s">
        <v>26</v>
      </c>
      <c r="C19" s="8" t="s">
        <v>27</v>
      </c>
      <c r="D19" s="2" t="s">
        <v>12</v>
      </c>
      <c r="E19" s="3">
        <v>619.65</v>
      </c>
      <c r="F19" s="3">
        <v>598.39</v>
      </c>
      <c r="G19" s="3">
        <f t="shared" si="0"/>
        <v>21.259999999999991</v>
      </c>
      <c r="H19" s="4">
        <v>12.457000000000001</v>
      </c>
      <c r="I19" s="5">
        <v>66922</v>
      </c>
      <c r="J19" s="5">
        <v>833647.35400000005</v>
      </c>
      <c r="K19" s="6">
        <f t="shared" si="1"/>
        <v>1.7506812849662372E-2</v>
      </c>
      <c r="L19" s="6">
        <f t="shared" si="2"/>
        <v>2.0103284111998711E-2</v>
      </c>
    </row>
    <row r="20" spans="1:12" ht="20.100000000000001" customHeight="1" x14ac:dyDescent="0.25">
      <c r="A20" s="2">
        <v>10</v>
      </c>
      <c r="B20" s="2" t="s">
        <v>31</v>
      </c>
      <c r="C20" s="8" t="s">
        <v>32</v>
      </c>
      <c r="D20" s="2" t="s">
        <v>30</v>
      </c>
      <c r="E20" s="3">
        <v>342.46</v>
      </c>
      <c r="F20" s="3">
        <v>327.8</v>
      </c>
      <c r="G20" s="3">
        <f t="shared" si="0"/>
        <v>14.659999999999968</v>
      </c>
      <c r="H20" s="4">
        <v>11.97</v>
      </c>
      <c r="I20" s="5">
        <v>69556</v>
      </c>
      <c r="J20" s="5">
        <v>832585.32</v>
      </c>
      <c r="K20" s="6">
        <f t="shared" si="1"/>
        <v>1.7484509857409392E-2</v>
      </c>
      <c r="L20" s="6">
        <f t="shared" si="2"/>
        <v>3.4952987210185138E-2</v>
      </c>
    </row>
    <row r="21" spans="1:12" ht="20.100000000000001" customHeight="1" x14ac:dyDescent="0.25">
      <c r="A21" s="2">
        <v>14</v>
      </c>
      <c r="B21" s="2" t="s">
        <v>39</v>
      </c>
      <c r="C21" s="8" t="s">
        <v>40</v>
      </c>
      <c r="D21" s="2" t="s">
        <v>30</v>
      </c>
      <c r="E21" s="3">
        <v>405.42</v>
      </c>
      <c r="F21" s="3">
        <v>389.1</v>
      </c>
      <c r="G21" s="3">
        <f t="shared" si="0"/>
        <v>16.319999999999993</v>
      </c>
      <c r="H21" s="4">
        <v>9.3260000000000005</v>
      </c>
      <c r="I21" s="5">
        <v>86376</v>
      </c>
      <c r="J21" s="5">
        <v>805542.576</v>
      </c>
      <c r="K21" s="6">
        <f t="shared" si="1"/>
        <v>1.6916605148208658E-2</v>
      </c>
      <c r="L21" s="6">
        <f t="shared" si="2"/>
        <v>2.3003305214345616E-2</v>
      </c>
    </row>
    <row r="22" spans="1:12" ht="20.100000000000001" customHeight="1" x14ac:dyDescent="0.25">
      <c r="A22" s="2">
        <v>26</v>
      </c>
      <c r="B22" s="2" t="s">
        <v>71</v>
      </c>
      <c r="C22" s="8" t="s">
        <v>72</v>
      </c>
      <c r="D22" s="2" t="s">
        <v>73</v>
      </c>
      <c r="E22" s="3">
        <v>185</v>
      </c>
      <c r="F22" s="3">
        <v>179.43</v>
      </c>
      <c r="G22" s="3">
        <f t="shared" si="0"/>
        <v>5.5699999999999932</v>
      </c>
      <c r="H22" s="4">
        <v>3.9239999999999999</v>
      </c>
      <c r="I22" s="5">
        <v>197478</v>
      </c>
      <c r="J22" s="5">
        <v>774903.67200000002</v>
      </c>
      <c r="K22" s="6">
        <f t="shared" si="1"/>
        <v>1.6273180136813767E-2</v>
      </c>
      <c r="L22" s="6">
        <f t="shared" si="2"/>
        <v>2.1210810810810811E-2</v>
      </c>
    </row>
    <row r="23" spans="1:12" ht="20.100000000000001" customHeight="1" x14ac:dyDescent="0.25">
      <c r="A23" s="2">
        <v>17</v>
      </c>
      <c r="B23" s="2" t="s">
        <v>53</v>
      </c>
      <c r="C23" s="8" t="s">
        <v>54</v>
      </c>
      <c r="D23" s="2" t="s">
        <v>30</v>
      </c>
      <c r="E23" s="3">
        <v>557.76</v>
      </c>
      <c r="F23" s="3">
        <v>540.48</v>
      </c>
      <c r="G23" s="3">
        <f t="shared" si="0"/>
        <v>17.279999999999973</v>
      </c>
      <c r="H23" s="4">
        <v>8.3279999999999994</v>
      </c>
      <c r="I23" s="5">
        <v>74227</v>
      </c>
      <c r="J23" s="5">
        <v>618162.45600000001</v>
      </c>
      <c r="K23" s="6">
        <f t="shared" si="1"/>
        <v>1.2981573534604718E-2</v>
      </c>
      <c r="L23" s="6">
        <f t="shared" si="2"/>
        <v>1.4931153184165231E-2</v>
      </c>
    </row>
    <row r="24" spans="1:12" ht="20.100000000000001" customHeight="1" x14ac:dyDescent="0.25">
      <c r="A24" s="2">
        <v>15</v>
      </c>
      <c r="B24" s="2" t="s">
        <v>41</v>
      </c>
      <c r="C24" s="8" t="s">
        <v>42</v>
      </c>
      <c r="D24" s="2" t="s">
        <v>30</v>
      </c>
      <c r="E24" s="3">
        <v>483</v>
      </c>
      <c r="F24" s="3">
        <v>470.19</v>
      </c>
      <c r="G24" s="3">
        <f t="shared" si="0"/>
        <v>12.810000000000002</v>
      </c>
      <c r="H24" s="4">
        <v>9.0869999999999997</v>
      </c>
      <c r="I24" s="5">
        <v>66000</v>
      </c>
      <c r="J24" s="5">
        <v>599742</v>
      </c>
      <c r="K24" s="6">
        <f t="shared" si="1"/>
        <v>1.2594739132444016E-2</v>
      </c>
      <c r="L24" s="6">
        <f t="shared" si="2"/>
        <v>1.8813664596273292E-2</v>
      </c>
    </row>
    <row r="25" spans="1:12" ht="20.100000000000001" customHeight="1" x14ac:dyDescent="0.25">
      <c r="A25" s="2">
        <v>24</v>
      </c>
      <c r="B25" s="2" t="s">
        <v>67</v>
      </c>
      <c r="C25" s="8" t="s">
        <v>68</v>
      </c>
      <c r="D25" s="2" t="s">
        <v>12</v>
      </c>
      <c r="E25" s="3">
        <v>302.41000000000003</v>
      </c>
      <c r="F25" s="3">
        <v>295.67</v>
      </c>
      <c r="G25" s="3">
        <f t="shared" si="0"/>
        <v>6.7400000000000091</v>
      </c>
      <c r="H25" s="4">
        <v>6.0949999999999998</v>
      </c>
      <c r="I25" s="5">
        <v>90161</v>
      </c>
      <c r="J25" s="5">
        <v>549531.29500000004</v>
      </c>
      <c r="K25" s="6">
        <f t="shared" si="1"/>
        <v>1.1540301172235957E-2</v>
      </c>
      <c r="L25" s="6">
        <f t="shared" si="2"/>
        <v>2.015475678714328E-2</v>
      </c>
    </row>
    <row r="26" spans="1:12" ht="20.100000000000001" customHeight="1" x14ac:dyDescent="0.25">
      <c r="A26" s="2">
        <v>19</v>
      </c>
      <c r="B26" s="2" t="s">
        <v>57</v>
      </c>
      <c r="C26" s="8" t="s">
        <v>58</v>
      </c>
      <c r="D26" s="2" t="s">
        <v>12</v>
      </c>
      <c r="E26" s="3">
        <v>275.72000000000003</v>
      </c>
      <c r="F26" s="3">
        <v>264.36</v>
      </c>
      <c r="G26" s="3">
        <f t="shared" si="0"/>
        <v>11.360000000000014</v>
      </c>
      <c r="H26" s="4">
        <v>7.4669999999999996</v>
      </c>
      <c r="I26" s="5">
        <v>71130</v>
      </c>
      <c r="J26" s="5">
        <v>531127.71</v>
      </c>
      <c r="K26" s="6">
        <f t="shared" si="1"/>
        <v>1.1153821065495458E-2</v>
      </c>
      <c r="L26" s="6">
        <f t="shared" si="2"/>
        <v>2.7081822138401272E-2</v>
      </c>
    </row>
    <row r="27" spans="1:12" ht="20.100000000000001" customHeight="1" x14ac:dyDescent="0.25">
      <c r="A27" s="2">
        <v>22</v>
      </c>
      <c r="B27" s="2" t="s">
        <v>63</v>
      </c>
      <c r="C27" s="8" t="s">
        <v>64</v>
      </c>
      <c r="D27" s="2" t="s">
        <v>12</v>
      </c>
      <c r="E27" s="3">
        <v>322.11</v>
      </c>
      <c r="F27" s="3">
        <v>309.13</v>
      </c>
      <c r="G27" s="3">
        <f t="shared" si="0"/>
        <v>12.980000000000018</v>
      </c>
      <c r="H27" s="4">
        <v>6.2779999999999996</v>
      </c>
      <c r="I27" s="5">
        <v>80961</v>
      </c>
      <c r="J27" s="5">
        <v>508273.158</v>
      </c>
      <c r="K27" s="6">
        <f t="shared" si="1"/>
        <v>1.067386948560131E-2</v>
      </c>
      <c r="L27" s="6">
        <f t="shared" si="2"/>
        <v>1.9490236254695599E-2</v>
      </c>
    </row>
    <row r="28" spans="1:12" ht="20.100000000000001" customHeight="1" x14ac:dyDescent="0.25">
      <c r="A28" s="2">
        <v>20</v>
      </c>
      <c r="B28" s="2" t="s">
        <v>59</v>
      </c>
      <c r="C28" s="8" t="s">
        <v>60</v>
      </c>
      <c r="D28" s="2" t="s">
        <v>12</v>
      </c>
      <c r="E28" s="3">
        <v>358.64</v>
      </c>
      <c r="F28" s="3">
        <v>350.53</v>
      </c>
      <c r="G28" s="3">
        <f t="shared" si="0"/>
        <v>8.1100000000000136</v>
      </c>
      <c r="H28" s="4">
        <v>6.9029999999999996</v>
      </c>
      <c r="I28" s="5">
        <v>63158</v>
      </c>
      <c r="J28" s="5">
        <v>435979.674</v>
      </c>
      <c r="K28" s="6">
        <f t="shared" si="1"/>
        <v>9.1556873807036778E-3</v>
      </c>
      <c r="L28" s="6">
        <f t="shared" si="2"/>
        <v>1.9247713584653135E-2</v>
      </c>
    </row>
    <row r="29" spans="1:12" ht="20.100000000000001" customHeight="1" x14ac:dyDescent="0.25">
      <c r="A29" s="2">
        <v>35</v>
      </c>
      <c r="B29" s="2" t="s">
        <v>90</v>
      </c>
      <c r="C29" s="8" t="s">
        <v>91</v>
      </c>
      <c r="D29" s="2" t="s">
        <v>12</v>
      </c>
      <c r="E29" s="3">
        <v>54</v>
      </c>
      <c r="F29" s="3">
        <v>51.85</v>
      </c>
      <c r="G29" s="3">
        <f t="shared" si="0"/>
        <v>2.1499999999999986</v>
      </c>
      <c r="H29" s="4">
        <v>1.18</v>
      </c>
      <c r="I29" s="5">
        <v>270000</v>
      </c>
      <c r="J29" s="5">
        <v>318600</v>
      </c>
      <c r="K29" s="6">
        <f t="shared" si="1"/>
        <v>6.6906834732212575E-3</v>
      </c>
      <c r="L29" s="6">
        <f t="shared" si="2"/>
        <v>2.1851851851851851E-2</v>
      </c>
    </row>
    <row r="30" spans="1:12" ht="20.100000000000001" customHeight="1" x14ac:dyDescent="0.25">
      <c r="A30" s="2">
        <v>32</v>
      </c>
      <c r="B30" s="2" t="s">
        <v>84</v>
      </c>
      <c r="C30" s="8" t="s">
        <v>85</v>
      </c>
      <c r="D30" s="2" t="s">
        <v>12</v>
      </c>
      <c r="E30" s="3">
        <v>90.789999999999992</v>
      </c>
      <c r="F30" s="3">
        <v>88.87</v>
      </c>
      <c r="G30" s="3">
        <f t="shared" si="0"/>
        <v>1.9199999999999875</v>
      </c>
      <c r="H30" s="4">
        <v>2.0310000000000001</v>
      </c>
      <c r="I30" s="5">
        <v>143000</v>
      </c>
      <c r="J30" s="5">
        <v>290433</v>
      </c>
      <c r="K30" s="6">
        <f t="shared" si="1"/>
        <v>6.0991690934653784E-3</v>
      </c>
      <c r="L30" s="6">
        <f t="shared" si="2"/>
        <v>2.2370305099680587E-2</v>
      </c>
    </row>
    <row r="31" spans="1:12" ht="20.100000000000001" customHeight="1" x14ac:dyDescent="0.25">
      <c r="A31" s="2">
        <v>28</v>
      </c>
      <c r="B31" s="2" t="s">
        <v>76</v>
      </c>
      <c r="C31" s="8" t="s">
        <v>77</v>
      </c>
      <c r="D31" s="2" t="s">
        <v>12</v>
      </c>
      <c r="E31" s="3">
        <v>105.87</v>
      </c>
      <c r="F31" s="3">
        <v>102.66</v>
      </c>
      <c r="G31" s="3">
        <f t="shared" si="0"/>
        <v>3.210000000000008</v>
      </c>
      <c r="H31" s="4">
        <v>2.407</v>
      </c>
      <c r="I31" s="5">
        <v>88598</v>
      </c>
      <c r="J31" s="5">
        <v>213255.386</v>
      </c>
      <c r="K31" s="6">
        <f t="shared" si="1"/>
        <v>4.4784189789253605E-3</v>
      </c>
      <c r="L31" s="6">
        <f t="shared" si="2"/>
        <v>2.2735430244639653E-2</v>
      </c>
    </row>
    <row r="32" spans="1:12" ht="20.100000000000001" customHeight="1" x14ac:dyDescent="0.25">
      <c r="A32" s="2">
        <v>33</v>
      </c>
      <c r="B32" s="2" t="s">
        <v>86</v>
      </c>
      <c r="C32" s="8" t="s">
        <v>87</v>
      </c>
      <c r="D32" s="2" t="s">
        <v>12</v>
      </c>
      <c r="E32" s="3">
        <v>49.61</v>
      </c>
      <c r="F32" s="3">
        <v>47.93</v>
      </c>
      <c r="G32" s="3">
        <f t="shared" si="0"/>
        <v>1.6799999999999997</v>
      </c>
      <c r="H32" s="4">
        <v>1.6779999999999999</v>
      </c>
      <c r="I32" s="5">
        <v>125010</v>
      </c>
      <c r="J32" s="5">
        <v>209766.78</v>
      </c>
      <c r="K32" s="6">
        <f t="shared" si="1"/>
        <v>4.4051573389103562E-3</v>
      </c>
      <c r="L32" s="6">
        <f t="shared" si="2"/>
        <v>3.3823825841564202E-2</v>
      </c>
    </row>
    <row r="33" spans="1:12" ht="20.100000000000001" customHeight="1" x14ac:dyDescent="0.25">
      <c r="A33" s="2">
        <v>27</v>
      </c>
      <c r="B33" s="2" t="s">
        <v>74</v>
      </c>
      <c r="C33" s="8" t="s">
        <v>75</v>
      </c>
      <c r="D33" s="2" t="s">
        <v>12</v>
      </c>
      <c r="E33" s="3">
        <v>135.91</v>
      </c>
      <c r="F33" s="3">
        <v>132.08000000000001</v>
      </c>
      <c r="G33" s="3">
        <f t="shared" si="0"/>
        <v>3.8299999999999841</v>
      </c>
      <c r="H33" s="4">
        <v>3.0649999999999999</v>
      </c>
      <c r="I33" s="5">
        <v>63803</v>
      </c>
      <c r="J33" s="5">
        <v>195556.19500000001</v>
      </c>
      <c r="K33" s="6">
        <f t="shared" si="1"/>
        <v>4.1067313307361379E-3</v>
      </c>
      <c r="L33" s="6">
        <f t="shared" si="2"/>
        <v>2.2551688617467442E-2</v>
      </c>
    </row>
    <row r="34" spans="1:12" ht="20.100000000000001" customHeight="1" x14ac:dyDescent="0.25">
      <c r="A34" s="2">
        <v>30</v>
      </c>
      <c r="B34" s="2" t="s">
        <v>80</v>
      </c>
      <c r="C34" s="8" t="s">
        <v>81</v>
      </c>
      <c r="D34" s="2" t="s">
        <v>30</v>
      </c>
      <c r="E34" s="3">
        <v>106</v>
      </c>
      <c r="F34" s="3">
        <v>100.91</v>
      </c>
      <c r="G34" s="3">
        <f t="shared" si="0"/>
        <v>5.0900000000000034</v>
      </c>
      <c r="H34" s="4">
        <v>2.161</v>
      </c>
      <c r="I34" s="5">
        <v>75000</v>
      </c>
      <c r="J34" s="5">
        <v>162075</v>
      </c>
      <c r="K34" s="6">
        <f t="shared" si="1"/>
        <v>3.403617463660814E-3</v>
      </c>
      <c r="L34" s="6">
        <f t="shared" si="2"/>
        <v>2.0386792452830187E-2</v>
      </c>
    </row>
    <row r="35" spans="1:12" ht="20.100000000000001" customHeight="1" x14ac:dyDescent="0.25">
      <c r="A35" s="2">
        <v>31</v>
      </c>
      <c r="B35" s="2" t="s">
        <v>82</v>
      </c>
      <c r="C35" s="8" t="s">
        <v>83</v>
      </c>
      <c r="D35" s="2" t="s">
        <v>30</v>
      </c>
      <c r="E35" s="3">
        <v>133.46</v>
      </c>
      <c r="F35" s="3">
        <v>131.4</v>
      </c>
      <c r="G35" s="3">
        <f t="shared" si="0"/>
        <v>2.0600000000000023</v>
      </c>
      <c r="H35" s="4">
        <v>2.1230000000000002</v>
      </c>
      <c r="I35" s="5">
        <v>75650</v>
      </c>
      <c r="J35" s="5">
        <v>160604.95000000001</v>
      </c>
      <c r="K35" s="6">
        <f t="shared" si="1"/>
        <v>3.3727460285076162E-3</v>
      </c>
      <c r="L35" s="6">
        <f t="shared" si="2"/>
        <v>1.5907387981417654E-2</v>
      </c>
    </row>
    <row r="36" spans="1:12" ht="20.100000000000001" customHeight="1" x14ac:dyDescent="0.25">
      <c r="A36" s="2">
        <v>37</v>
      </c>
      <c r="B36" s="2" t="s">
        <v>94</v>
      </c>
      <c r="C36" s="8" t="s">
        <v>95</v>
      </c>
      <c r="D36" s="2" t="s">
        <v>73</v>
      </c>
      <c r="E36" s="3">
        <v>4.1900000000000004</v>
      </c>
      <c r="F36" s="3">
        <v>3.86</v>
      </c>
      <c r="G36" s="3">
        <f t="shared" si="0"/>
        <v>0.33000000000000052</v>
      </c>
      <c r="H36" s="4">
        <v>0.32600000000000001</v>
      </c>
      <c r="I36" s="5">
        <v>470000</v>
      </c>
      <c r="J36" s="5">
        <v>153220</v>
      </c>
      <c r="K36" s="6">
        <f t="shared" si="1"/>
        <v>3.2176601436502235E-3</v>
      </c>
      <c r="L36" s="6">
        <f t="shared" si="2"/>
        <v>7.7804295942720758E-2</v>
      </c>
    </row>
    <row r="37" spans="1:12" ht="20.100000000000001" customHeight="1" x14ac:dyDescent="0.25">
      <c r="A37" s="2">
        <v>29</v>
      </c>
      <c r="B37" s="2" t="s">
        <v>78</v>
      </c>
      <c r="C37" s="8" t="s">
        <v>79</v>
      </c>
      <c r="D37" s="2" t="s">
        <v>12</v>
      </c>
      <c r="E37" s="3">
        <v>105.6</v>
      </c>
      <c r="F37" s="3">
        <v>103.38</v>
      </c>
      <c r="G37" s="3">
        <f t="shared" si="0"/>
        <v>2.2199999999999989</v>
      </c>
      <c r="H37" s="4">
        <v>2.1749999999999998</v>
      </c>
      <c r="I37" s="5">
        <v>64000</v>
      </c>
      <c r="J37" s="5">
        <v>139200</v>
      </c>
      <c r="K37" s="6">
        <f t="shared" si="1"/>
        <v>2.923236470409288E-3</v>
      </c>
      <c r="L37" s="6">
        <f t="shared" si="2"/>
        <v>2.0596590909090908E-2</v>
      </c>
    </row>
    <row r="38" spans="1:12" ht="20.100000000000001" customHeight="1" x14ac:dyDescent="0.25">
      <c r="A38" s="2">
        <v>25</v>
      </c>
      <c r="B38" s="2" t="s">
        <v>69</v>
      </c>
      <c r="C38" s="8" t="s">
        <v>70</v>
      </c>
      <c r="D38" s="2" t="s">
        <v>30</v>
      </c>
      <c r="E38" s="3">
        <v>213</v>
      </c>
      <c r="F38" s="3">
        <v>187.93</v>
      </c>
      <c r="G38" s="3">
        <f t="shared" si="0"/>
        <v>25.069999999999993</v>
      </c>
      <c r="H38" s="4">
        <v>4.1210000000000004</v>
      </c>
      <c r="I38" s="5">
        <v>20900</v>
      </c>
      <c r="J38" s="5">
        <v>86128.9</v>
      </c>
      <c r="K38" s="6">
        <f t="shared" si="1"/>
        <v>1.8087294657775465E-3</v>
      </c>
      <c r="L38" s="6">
        <f t="shared" si="2"/>
        <v>1.9347417840375587E-2</v>
      </c>
    </row>
    <row r="39" spans="1:12" ht="20.100000000000001" customHeight="1" x14ac:dyDescent="0.25">
      <c r="A39" s="2">
        <v>34</v>
      </c>
      <c r="B39" s="2" t="s">
        <v>88</v>
      </c>
      <c r="C39" s="8" t="s">
        <v>89</v>
      </c>
      <c r="D39" s="2" t="s">
        <v>30</v>
      </c>
      <c r="E39" s="3">
        <v>153.13</v>
      </c>
      <c r="F39" s="3">
        <v>147.61000000000001</v>
      </c>
      <c r="G39" s="3">
        <f t="shared" si="0"/>
        <v>5.5199999999999818</v>
      </c>
      <c r="H39" s="4">
        <v>1.665</v>
      </c>
      <c r="I39" s="5">
        <v>47845</v>
      </c>
      <c r="J39" s="5">
        <v>79661.925000000003</v>
      </c>
      <c r="K39" s="6">
        <f t="shared" si="1"/>
        <v>1.6729212964296653E-3</v>
      </c>
      <c r="L39" s="6">
        <f t="shared" si="2"/>
        <v>1.0873114347286619E-2</v>
      </c>
    </row>
    <row r="40" spans="1:12" ht="20.100000000000001" customHeight="1" x14ac:dyDescent="0.25">
      <c r="A40" s="2">
        <v>38</v>
      </c>
      <c r="B40" s="2" t="s">
        <v>96</v>
      </c>
      <c r="C40" s="8" t="s">
        <v>97</v>
      </c>
      <c r="D40" s="2" t="s">
        <v>12</v>
      </c>
      <c r="E40" s="3">
        <v>16.010000000000002</v>
      </c>
      <c r="F40" s="3">
        <v>10.68</v>
      </c>
      <c r="G40" s="3">
        <f t="shared" si="0"/>
        <v>5.3300000000000018</v>
      </c>
      <c r="H40" s="4">
        <v>0.26700000000000002</v>
      </c>
      <c r="I40" s="5">
        <v>214130</v>
      </c>
      <c r="J40" s="5">
        <v>57172.71</v>
      </c>
      <c r="K40" s="6">
        <f t="shared" si="1"/>
        <v>1.2006418892538348E-3</v>
      </c>
      <c r="L40" s="6">
        <f t="shared" si="2"/>
        <v>1.6677076826983134E-2</v>
      </c>
    </row>
    <row r="41" spans="1:12" ht="20.100000000000001" customHeight="1" x14ac:dyDescent="0.25">
      <c r="A41" s="2">
        <v>36</v>
      </c>
      <c r="B41" s="2" t="s">
        <v>92</v>
      </c>
      <c r="C41" s="8" t="s">
        <v>93</v>
      </c>
      <c r="D41" s="2" t="s">
        <v>12</v>
      </c>
      <c r="E41" s="3">
        <v>39.31</v>
      </c>
      <c r="F41" s="3">
        <v>38.17</v>
      </c>
      <c r="G41" s="3">
        <f t="shared" si="0"/>
        <v>1.1400000000000006</v>
      </c>
      <c r="H41" s="4">
        <v>0.97299999999999998</v>
      </c>
      <c r="I41" s="5">
        <v>57900</v>
      </c>
      <c r="J41" s="5">
        <v>56336.7</v>
      </c>
      <c r="K41" s="6">
        <f t="shared" si="1"/>
        <v>1.183085460219159E-3</v>
      </c>
      <c r="L41" s="6">
        <f t="shared" si="2"/>
        <v>2.4751971508522003E-2</v>
      </c>
    </row>
    <row r="42" spans="1:12" ht="20.100000000000001" customHeight="1" x14ac:dyDescent="0.25">
      <c r="A42" s="2">
        <v>39</v>
      </c>
      <c r="B42" s="2" t="s">
        <v>98</v>
      </c>
      <c r="C42" s="8" t="s">
        <v>99</v>
      </c>
      <c r="D42" s="2" t="s">
        <v>12</v>
      </c>
      <c r="E42" s="3">
        <v>11.43</v>
      </c>
      <c r="F42" s="3">
        <v>5.69</v>
      </c>
      <c r="G42" s="3">
        <f t="shared" si="0"/>
        <v>5.7399999999999993</v>
      </c>
      <c r="H42" s="4">
        <v>0.222</v>
      </c>
      <c r="I42" s="5">
        <v>235695</v>
      </c>
      <c r="J42" s="5">
        <v>52324.29</v>
      </c>
      <c r="K42" s="6">
        <f t="shared" si="1"/>
        <v>1.0988237989674712E-3</v>
      </c>
      <c r="L42" s="6">
        <f t="shared" si="2"/>
        <v>1.942257217847769E-2</v>
      </c>
    </row>
    <row r="43" spans="1:12" ht="20.100000000000001" customHeight="1" x14ac:dyDescent="0.25">
      <c r="A43" s="2">
        <v>41</v>
      </c>
      <c r="B43" s="2" t="s">
        <v>102</v>
      </c>
      <c r="C43" s="8" t="s">
        <v>103</v>
      </c>
      <c r="D43" s="2" t="s">
        <v>12</v>
      </c>
      <c r="E43" s="3">
        <v>14.08</v>
      </c>
      <c r="F43" s="3">
        <v>10.59</v>
      </c>
      <c r="G43" s="3">
        <f t="shared" si="0"/>
        <v>3.49</v>
      </c>
      <c r="H43" s="4">
        <v>7.4999999999999997E-2</v>
      </c>
      <c r="I43" s="5">
        <v>155800</v>
      </c>
      <c r="J43" s="5">
        <v>11685</v>
      </c>
      <c r="K43" s="6">
        <f t="shared" si="1"/>
        <v>2.4538806147077967E-4</v>
      </c>
      <c r="L43" s="6">
        <f t="shared" si="2"/>
        <v>5.3267045454545451E-3</v>
      </c>
    </row>
    <row r="44" spans="1:12" ht="20.100000000000001" customHeight="1" x14ac:dyDescent="0.25">
      <c r="A44" s="2">
        <v>42</v>
      </c>
      <c r="B44" s="2" t="s">
        <v>104</v>
      </c>
      <c r="C44" s="8" t="s">
        <v>105</v>
      </c>
      <c r="D44" s="2" t="s">
        <v>12</v>
      </c>
      <c r="E44" s="3">
        <v>2.34</v>
      </c>
      <c r="F44" s="3">
        <v>1.63</v>
      </c>
      <c r="G44" s="3">
        <f t="shared" si="0"/>
        <v>0.71</v>
      </c>
      <c r="H44" s="4">
        <v>4.7E-2</v>
      </c>
      <c r="I44" s="5">
        <v>210615</v>
      </c>
      <c r="J44" s="5">
        <v>9898.9050000000007</v>
      </c>
      <c r="K44" s="6">
        <f t="shared" si="1"/>
        <v>2.0787959851377051E-4</v>
      </c>
      <c r="L44" s="6">
        <f t="shared" si="2"/>
        <v>2.0085470085470087E-2</v>
      </c>
    </row>
    <row r="45" spans="1:12" ht="20.100000000000001" customHeight="1" x14ac:dyDescent="0.25">
      <c r="A45" s="2">
        <v>40</v>
      </c>
      <c r="B45" s="2" t="s">
        <v>100</v>
      </c>
      <c r="C45" s="8" t="s">
        <v>101</v>
      </c>
      <c r="D45" s="2" t="s">
        <v>30</v>
      </c>
      <c r="E45" s="3">
        <v>6.47</v>
      </c>
      <c r="F45" s="3">
        <v>6.3999999999999986</v>
      </c>
      <c r="G45" s="3">
        <f t="shared" si="0"/>
        <v>7.0000000000001172E-2</v>
      </c>
      <c r="H45" s="4">
        <v>8.5000000000000006E-2</v>
      </c>
      <c r="I45" s="5">
        <v>73200</v>
      </c>
      <c r="J45" s="5">
        <v>6222</v>
      </c>
      <c r="K45" s="6">
        <f t="shared" si="1"/>
        <v>1.3066363016441516E-4</v>
      </c>
      <c r="L45" s="6">
        <f t="shared" si="2"/>
        <v>1.3137557959814529E-2</v>
      </c>
    </row>
    <row r="46" spans="1:12" ht="20.100000000000001" customHeight="1" x14ac:dyDescent="0.25">
      <c r="A46" s="2">
        <v>49</v>
      </c>
      <c r="B46" s="2" t="s">
        <v>118</v>
      </c>
      <c r="C46" s="8" t="s">
        <v>119</v>
      </c>
      <c r="D46" s="2" t="s">
        <v>12</v>
      </c>
      <c r="E46" s="3">
        <v>0.6</v>
      </c>
      <c r="F46" s="3">
        <v>0.59</v>
      </c>
      <c r="G46" s="3">
        <f t="shared" si="0"/>
        <v>1.0000000000000009E-2</v>
      </c>
      <c r="H46" s="4">
        <v>0.01</v>
      </c>
      <c r="I46" s="5">
        <v>323095</v>
      </c>
      <c r="J46" s="5">
        <v>3230.95</v>
      </c>
      <c r="K46" s="6">
        <f t="shared" si="1"/>
        <v>6.7850796509115577E-5</v>
      </c>
      <c r="L46" s="6">
        <f t="shared" si="2"/>
        <v>1.6666666666666666E-2</v>
      </c>
    </row>
    <row r="47" spans="1:12" ht="20.100000000000001" customHeight="1" x14ac:dyDescent="0.25">
      <c r="A47" s="2">
        <v>43</v>
      </c>
      <c r="B47" s="2" t="s">
        <v>106</v>
      </c>
      <c r="C47" s="8" t="s">
        <v>107</v>
      </c>
      <c r="D47" s="2" t="s">
        <v>12</v>
      </c>
      <c r="E47" s="3">
        <v>4.99</v>
      </c>
      <c r="F47" s="3">
        <v>2.5299999999999998</v>
      </c>
      <c r="G47" s="3">
        <f t="shared" si="0"/>
        <v>2.4600000000000004</v>
      </c>
      <c r="H47" s="4">
        <v>2.8000000000000001E-2</v>
      </c>
      <c r="I47" s="5">
        <v>107488</v>
      </c>
      <c r="J47" s="5">
        <v>3009.6640000000002</v>
      </c>
      <c r="K47" s="6">
        <f t="shared" si="1"/>
        <v>6.3203732532168819E-5</v>
      </c>
      <c r="L47" s="6">
        <f t="shared" si="2"/>
        <v>5.6112224448897794E-3</v>
      </c>
    </row>
    <row r="48" spans="1:12" ht="20.100000000000001" customHeight="1" x14ac:dyDescent="0.25">
      <c r="A48" s="2">
        <v>46</v>
      </c>
      <c r="B48" s="2" t="s">
        <v>112</v>
      </c>
      <c r="C48" s="8" t="s">
        <v>113</v>
      </c>
      <c r="D48" s="2" t="s">
        <v>30</v>
      </c>
      <c r="E48" s="3">
        <v>2.06</v>
      </c>
      <c r="F48" s="3">
        <v>1.32</v>
      </c>
      <c r="G48" s="3">
        <f t="shared" si="0"/>
        <v>0.74</v>
      </c>
      <c r="H48" s="4">
        <v>1.7000000000000001E-2</v>
      </c>
      <c r="I48" s="5">
        <v>168136</v>
      </c>
      <c r="J48" s="5">
        <v>2858.3119999999999</v>
      </c>
      <c r="K48" s="6">
        <f t="shared" si="1"/>
        <v>6.0025300877934711E-5</v>
      </c>
      <c r="L48" s="6">
        <f t="shared" si="2"/>
        <v>8.2524271844660203E-3</v>
      </c>
    </row>
    <row r="49" spans="1:12" ht="20.100000000000001" customHeight="1" x14ac:dyDescent="0.25">
      <c r="A49" s="2">
        <v>45</v>
      </c>
      <c r="B49" s="2" t="s">
        <v>110</v>
      </c>
      <c r="C49" s="8" t="s">
        <v>111</v>
      </c>
      <c r="D49" s="2" t="s">
        <v>12</v>
      </c>
      <c r="E49" s="3">
        <v>7.81</v>
      </c>
      <c r="F49" s="3">
        <v>3.82</v>
      </c>
      <c r="G49" s="3">
        <f t="shared" si="0"/>
        <v>3.9899999999999998</v>
      </c>
      <c r="H49" s="4">
        <v>1.9E-2</v>
      </c>
      <c r="I49" s="5">
        <v>143070</v>
      </c>
      <c r="J49" s="5">
        <v>2718.33</v>
      </c>
      <c r="K49" s="6">
        <f t="shared" si="1"/>
        <v>5.7085642202641373E-5</v>
      </c>
      <c r="L49" s="6">
        <f t="shared" si="2"/>
        <v>2.4327784891165173E-3</v>
      </c>
    </row>
    <row r="50" spans="1:12" ht="20.100000000000001" customHeight="1" x14ac:dyDescent="0.25">
      <c r="A50" s="2">
        <v>50</v>
      </c>
      <c r="B50" s="2" t="s">
        <v>120</v>
      </c>
      <c r="C50" s="8" t="s">
        <v>121</v>
      </c>
      <c r="D50" s="2" t="s">
        <v>12</v>
      </c>
      <c r="E50" s="3">
        <v>3.86</v>
      </c>
      <c r="F50" s="3">
        <v>2.69</v>
      </c>
      <c r="G50" s="3">
        <f t="shared" si="0"/>
        <v>1.17</v>
      </c>
      <c r="H50" s="4">
        <v>7.0000000000000001E-3</v>
      </c>
      <c r="I50" s="5">
        <v>259350</v>
      </c>
      <c r="J50" s="5">
        <v>1815.45</v>
      </c>
      <c r="K50" s="6">
        <f t="shared" si="1"/>
        <v>3.8124925648021133E-5</v>
      </c>
      <c r="L50" s="6">
        <f t="shared" si="2"/>
        <v>1.8134715025906736E-3</v>
      </c>
    </row>
    <row r="51" spans="1:12" ht="20.100000000000001" customHeight="1" x14ac:dyDescent="0.25">
      <c r="A51" s="2">
        <v>47</v>
      </c>
      <c r="B51" s="2" t="s">
        <v>114</v>
      </c>
      <c r="C51" s="8" t="s">
        <v>115</v>
      </c>
      <c r="D51" s="2" t="s">
        <v>30</v>
      </c>
      <c r="E51" s="3">
        <v>1.88</v>
      </c>
      <c r="F51" s="3">
        <v>0.43</v>
      </c>
      <c r="G51" s="3">
        <f t="shared" si="0"/>
        <v>1.45</v>
      </c>
      <c r="H51" s="4">
        <v>1.6E-2</v>
      </c>
      <c r="I51" s="5">
        <v>111116</v>
      </c>
      <c r="J51" s="5">
        <v>1777.856</v>
      </c>
      <c r="K51" s="6">
        <f t="shared" si="1"/>
        <v>3.7335441798390624E-5</v>
      </c>
      <c r="L51" s="6">
        <f t="shared" si="2"/>
        <v>8.5106382978723406E-3</v>
      </c>
    </row>
    <row r="52" spans="1:12" ht="20.100000000000001" customHeight="1" x14ac:dyDescent="0.25">
      <c r="A52" s="2">
        <v>44</v>
      </c>
      <c r="B52" s="2" t="s">
        <v>108</v>
      </c>
      <c r="C52" s="8" t="s">
        <v>109</v>
      </c>
      <c r="D52" s="2" t="s">
        <v>12</v>
      </c>
      <c r="E52" s="3">
        <v>9.89</v>
      </c>
      <c r="F52" s="3">
        <v>5.7799999999999994</v>
      </c>
      <c r="G52" s="3">
        <f t="shared" si="0"/>
        <v>4.1100000000000012</v>
      </c>
      <c r="H52" s="4">
        <v>2.1000000000000001E-2</v>
      </c>
      <c r="I52" s="5">
        <v>83125</v>
      </c>
      <c r="J52" s="5">
        <v>1745.625</v>
      </c>
      <c r="K52" s="6">
        <f t="shared" si="1"/>
        <v>3.6658582353866471E-5</v>
      </c>
      <c r="L52" s="6">
        <f t="shared" si="2"/>
        <v>2.1233569261880688E-3</v>
      </c>
    </row>
    <row r="53" spans="1:12" ht="20.100000000000001" customHeight="1" x14ac:dyDescent="0.25">
      <c r="A53" s="2">
        <v>48</v>
      </c>
      <c r="B53" s="2" t="s">
        <v>116</v>
      </c>
      <c r="C53" s="8" t="s">
        <v>117</v>
      </c>
      <c r="D53" s="2" t="s">
        <v>12</v>
      </c>
      <c r="E53" s="3">
        <v>4.24</v>
      </c>
      <c r="F53" s="3">
        <v>1.71</v>
      </c>
      <c r="G53" s="3">
        <f t="shared" si="0"/>
        <v>2.5300000000000002</v>
      </c>
      <c r="H53" s="4">
        <v>1.2999999999999999E-2</v>
      </c>
      <c r="I53" s="5">
        <v>107488</v>
      </c>
      <c r="J53" s="5">
        <v>1397.3440000000001</v>
      </c>
      <c r="K53" s="6">
        <f t="shared" si="1"/>
        <v>2.9344590104221237E-5</v>
      </c>
      <c r="L53" s="6">
        <f t="shared" si="2"/>
        <v>3.0660377358490564E-3</v>
      </c>
    </row>
    <row r="54" spans="1:12" ht="20.100000000000001" customHeight="1" x14ac:dyDescent="0.25">
      <c r="A54" s="2">
        <v>51</v>
      </c>
      <c r="B54" s="2" t="s">
        <v>122</v>
      </c>
      <c r="C54" s="8" t="s">
        <v>123</v>
      </c>
      <c r="D54" s="2" t="s">
        <v>73</v>
      </c>
      <c r="E54" s="3">
        <v>1.0900000000000001</v>
      </c>
      <c r="F54" s="3">
        <v>0.22</v>
      </c>
      <c r="G54" s="3">
        <f t="shared" si="0"/>
        <v>0.87000000000000011</v>
      </c>
      <c r="H54" s="4">
        <v>0</v>
      </c>
      <c r="I54" s="5">
        <v>100000</v>
      </c>
      <c r="J54" s="5">
        <v>0</v>
      </c>
      <c r="K54" s="6">
        <f t="shared" si="1"/>
        <v>0</v>
      </c>
      <c r="L54" s="6">
        <f t="shared" si="2"/>
        <v>0</v>
      </c>
    </row>
    <row r="55" spans="1:12" ht="20.100000000000001" customHeight="1" x14ac:dyDescent="0.25">
      <c r="A55" s="2">
        <v>52</v>
      </c>
      <c r="B55" s="2" t="s">
        <v>124</v>
      </c>
      <c r="C55" s="8" t="s">
        <v>125</v>
      </c>
      <c r="D55" s="2" t="s">
        <v>30</v>
      </c>
      <c r="E55" s="3">
        <v>1.35</v>
      </c>
      <c r="F55" s="3">
        <v>0</v>
      </c>
      <c r="G55" s="3">
        <f t="shared" si="0"/>
        <v>1.35</v>
      </c>
      <c r="H55" s="4">
        <v>0</v>
      </c>
      <c r="I55" s="5">
        <v>114475</v>
      </c>
      <c r="J55" s="5">
        <v>0</v>
      </c>
      <c r="K55" s="6">
        <f t="shared" si="1"/>
        <v>0</v>
      </c>
      <c r="L55" s="6">
        <f t="shared" si="2"/>
        <v>0</v>
      </c>
    </row>
    <row r="56" spans="1:12" ht="20.100000000000001" customHeight="1" x14ac:dyDescent="0.25">
      <c r="A56" s="2">
        <v>53</v>
      </c>
      <c r="B56" s="2" t="s">
        <v>126</v>
      </c>
      <c r="C56" s="8" t="s">
        <v>127</v>
      </c>
      <c r="D56" s="2" t="s">
        <v>73</v>
      </c>
      <c r="E56" s="3">
        <v>4.67</v>
      </c>
      <c r="F56" s="3">
        <v>2.77</v>
      </c>
      <c r="G56" s="3">
        <f t="shared" si="0"/>
        <v>1.9</v>
      </c>
      <c r="H56" s="4">
        <v>0</v>
      </c>
      <c r="I56" s="5">
        <v>204000</v>
      </c>
      <c r="J56" s="5">
        <v>0</v>
      </c>
      <c r="K56" s="6">
        <f t="shared" si="1"/>
        <v>0</v>
      </c>
      <c r="L56" s="6">
        <f t="shared" si="2"/>
        <v>0</v>
      </c>
    </row>
    <row r="57" spans="1:12" ht="20.100000000000001" customHeight="1" x14ac:dyDescent="0.25">
      <c r="A57" s="2">
        <v>54</v>
      </c>
      <c r="B57" s="2" t="s">
        <v>128</v>
      </c>
      <c r="C57" s="8" t="s">
        <v>129</v>
      </c>
      <c r="D57" s="2" t="s">
        <v>73</v>
      </c>
      <c r="E57" s="3">
        <v>0.48</v>
      </c>
      <c r="F57" s="3">
        <v>0</v>
      </c>
      <c r="G57" s="3">
        <f t="shared" si="0"/>
        <v>0.48</v>
      </c>
      <c r="H57" s="4">
        <v>0</v>
      </c>
      <c r="I57" s="5">
        <v>265000</v>
      </c>
      <c r="J57" s="5">
        <v>0</v>
      </c>
      <c r="K57" s="6">
        <f t="shared" si="1"/>
        <v>0</v>
      </c>
      <c r="L57" s="6">
        <f t="shared" si="2"/>
        <v>0</v>
      </c>
    </row>
    <row r="58" spans="1:12" ht="20.100000000000001" customHeight="1" x14ac:dyDescent="0.25">
      <c r="A58" s="2">
        <v>55</v>
      </c>
      <c r="B58" s="2" t="s">
        <v>130</v>
      </c>
      <c r="C58" s="8" t="s">
        <v>131</v>
      </c>
      <c r="D58" s="2" t="s">
        <v>30</v>
      </c>
      <c r="E58" s="3">
        <v>1.1399999999999999</v>
      </c>
      <c r="F58" s="3">
        <v>0</v>
      </c>
      <c r="G58" s="3">
        <f t="shared" si="0"/>
        <v>1.1399999999999999</v>
      </c>
      <c r="H58" s="4">
        <v>0</v>
      </c>
      <c r="I58" s="5">
        <v>120717</v>
      </c>
      <c r="J58" s="5">
        <v>0</v>
      </c>
      <c r="K58" s="6">
        <f t="shared" si="1"/>
        <v>0</v>
      </c>
      <c r="L58" s="6">
        <f t="shared" si="2"/>
        <v>0</v>
      </c>
    </row>
    <row r="59" spans="1:12" ht="20.100000000000001" customHeight="1" x14ac:dyDescent="0.25">
      <c r="A59" s="2">
        <v>56</v>
      </c>
      <c r="B59" s="2" t="s">
        <v>132</v>
      </c>
      <c r="C59" s="8" t="s">
        <v>133</v>
      </c>
      <c r="D59" s="2" t="s">
        <v>12</v>
      </c>
      <c r="E59" s="3">
        <v>1.1299999999999999</v>
      </c>
      <c r="F59" s="3">
        <v>0.35</v>
      </c>
      <c r="G59" s="3">
        <f t="shared" si="0"/>
        <v>0.77999999999999992</v>
      </c>
      <c r="H59" s="4">
        <v>0</v>
      </c>
      <c r="I59" s="5">
        <v>103455</v>
      </c>
      <c r="J59" s="5">
        <v>0</v>
      </c>
      <c r="K59" s="6">
        <f t="shared" si="1"/>
        <v>0</v>
      </c>
      <c r="L59" s="6">
        <f t="shared" si="2"/>
        <v>0</v>
      </c>
    </row>
    <row r="60" spans="1:12" ht="20.100000000000001" customHeight="1" x14ac:dyDescent="0.25">
      <c r="A60" s="2">
        <v>57</v>
      </c>
      <c r="B60" s="2" t="s">
        <v>134</v>
      </c>
      <c r="C60" s="8" t="s">
        <v>135</v>
      </c>
      <c r="D60" s="2" t="s">
        <v>12</v>
      </c>
      <c r="E60" s="3">
        <v>5.09</v>
      </c>
      <c r="F60" s="3">
        <v>2.62</v>
      </c>
      <c r="G60" s="3">
        <f t="shared" si="0"/>
        <v>2.4699999999999998</v>
      </c>
      <c r="H60" s="4">
        <v>0</v>
      </c>
      <c r="I60" s="5">
        <v>106305</v>
      </c>
      <c r="J60" s="5">
        <v>0</v>
      </c>
      <c r="K60" s="6">
        <f t="shared" si="1"/>
        <v>0</v>
      </c>
      <c r="L60" s="6">
        <f t="shared" si="2"/>
        <v>0</v>
      </c>
    </row>
    <row r="61" spans="1:12" ht="20.100000000000001" customHeight="1" x14ac:dyDescent="0.25">
      <c r="A61" s="2">
        <v>58</v>
      </c>
      <c r="B61" s="2" t="s">
        <v>136</v>
      </c>
      <c r="C61" s="8" t="s">
        <v>137</v>
      </c>
      <c r="D61" s="2" t="s">
        <v>12</v>
      </c>
      <c r="E61" s="3">
        <v>0.83</v>
      </c>
      <c r="F61" s="3">
        <v>0.42</v>
      </c>
      <c r="G61" s="3">
        <f t="shared" si="0"/>
        <v>0.41</v>
      </c>
      <c r="H61" s="4">
        <v>0</v>
      </c>
      <c r="I61" s="5">
        <v>162735</v>
      </c>
      <c r="J61" s="5">
        <v>0</v>
      </c>
      <c r="K61" s="6">
        <f t="shared" si="1"/>
        <v>0</v>
      </c>
      <c r="L61" s="6">
        <f t="shared" si="2"/>
        <v>0</v>
      </c>
    </row>
    <row r="62" spans="1:12" ht="20.100000000000001" customHeight="1" x14ac:dyDescent="0.25">
      <c r="A62" s="2">
        <v>59</v>
      </c>
      <c r="B62" s="2" t="s">
        <v>138</v>
      </c>
      <c r="C62" s="8" t="s">
        <v>139</v>
      </c>
      <c r="D62" s="2" t="s">
        <v>12</v>
      </c>
      <c r="E62" s="3">
        <v>1.49</v>
      </c>
      <c r="F62" s="3">
        <v>0.69</v>
      </c>
      <c r="G62" s="3">
        <f t="shared" si="0"/>
        <v>0.8</v>
      </c>
      <c r="H62" s="4">
        <v>0</v>
      </c>
      <c r="I62" s="5">
        <v>160170</v>
      </c>
      <c r="J62" s="5">
        <v>0</v>
      </c>
      <c r="K62" s="6">
        <f t="shared" si="1"/>
        <v>0</v>
      </c>
      <c r="L62" s="6">
        <f t="shared" si="2"/>
        <v>0</v>
      </c>
    </row>
    <row r="63" spans="1:12" ht="20.100000000000001" customHeight="1" x14ac:dyDescent="0.25">
      <c r="A63" s="2">
        <v>60</v>
      </c>
      <c r="B63" s="2" t="s">
        <v>140</v>
      </c>
      <c r="C63" s="8" t="s">
        <v>141</v>
      </c>
      <c r="D63" s="2" t="s">
        <v>12</v>
      </c>
      <c r="E63" s="3">
        <v>2.73</v>
      </c>
      <c r="F63" s="3">
        <v>0.39</v>
      </c>
      <c r="G63" s="3">
        <f t="shared" si="0"/>
        <v>2.34</v>
      </c>
      <c r="H63" s="4">
        <v>0</v>
      </c>
      <c r="I63" s="5">
        <v>140790</v>
      </c>
      <c r="J63" s="5">
        <v>0</v>
      </c>
      <c r="K63" s="6">
        <f t="shared" si="1"/>
        <v>0</v>
      </c>
      <c r="L63" s="6">
        <f t="shared" si="2"/>
        <v>0</v>
      </c>
    </row>
    <row r="64" spans="1:12" ht="20.100000000000001" customHeight="1" x14ac:dyDescent="0.25">
      <c r="A64" s="2">
        <v>61</v>
      </c>
      <c r="B64" s="2" t="s">
        <v>142</v>
      </c>
      <c r="C64" s="8" t="s">
        <v>143</v>
      </c>
      <c r="D64" s="2" t="s">
        <v>12</v>
      </c>
      <c r="E64" s="3">
        <v>0.45</v>
      </c>
      <c r="F64" s="3">
        <v>0</v>
      </c>
      <c r="G64" s="3">
        <f t="shared" si="0"/>
        <v>0.45</v>
      </c>
      <c r="H64" s="4">
        <v>0</v>
      </c>
      <c r="I64" s="5">
        <v>142215</v>
      </c>
      <c r="J64" s="5">
        <v>0</v>
      </c>
      <c r="K64" s="6">
        <f t="shared" si="1"/>
        <v>0</v>
      </c>
      <c r="L64" s="6">
        <f t="shared" si="2"/>
        <v>0</v>
      </c>
    </row>
    <row r="65" spans="1:12" ht="20.100000000000001" customHeight="1" x14ac:dyDescent="0.25">
      <c r="A65" s="2">
        <v>62</v>
      </c>
      <c r="B65" s="2" t="s">
        <v>144</v>
      </c>
      <c r="C65" s="8" t="s">
        <v>145</v>
      </c>
      <c r="D65" s="2" t="s">
        <v>12</v>
      </c>
      <c r="E65" s="3">
        <v>2.86</v>
      </c>
      <c r="F65" s="3">
        <v>0.42</v>
      </c>
      <c r="G65" s="3">
        <f t="shared" si="0"/>
        <v>2.44</v>
      </c>
      <c r="H65" s="4">
        <v>0</v>
      </c>
      <c r="I65" s="5">
        <v>83980</v>
      </c>
      <c r="J65" s="5">
        <v>0</v>
      </c>
      <c r="K65" s="6">
        <f t="shared" si="1"/>
        <v>0</v>
      </c>
      <c r="L65" s="6">
        <f t="shared" si="2"/>
        <v>0</v>
      </c>
    </row>
    <row r="66" spans="1:12" x14ac:dyDescent="0.25">
      <c r="J66" s="9">
        <f>SUBTOTAL(9,J4:J65)</f>
        <v>47618453.522</v>
      </c>
      <c r="K66" s="10">
        <f>SUBTOTAL(9,K4:K65)</f>
        <v>0.99999999999999989</v>
      </c>
      <c r="L66" s="10">
        <f>SUBTOTAL(9,L4:L65)</f>
        <v>1.1072996978568777</v>
      </c>
    </row>
  </sheetData>
  <mergeCells count="1">
    <mergeCell ref="A1:L1"/>
  </mergeCells>
  <conditionalFormatting sqref="L67:L1048576 L1:L65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15 SKU </vt:lpstr>
      <vt:lpstr>CLV3</vt:lpstr>
      <vt:lpstr>3.Chi_Tiet_ALL_SKU_KG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 Ha</cp:lastModifiedBy>
  <dcterms:created xsi:type="dcterms:W3CDTF">2026-09-07T18:52:53Z</dcterms:created>
  <dcterms:modified xsi:type="dcterms:W3CDTF">2026-09-07T19:18:07Z</dcterms:modified>
</cp:coreProperties>
</file>